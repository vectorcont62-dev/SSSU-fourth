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Desktop_offline\특성화\4차년도 계획서\SSSU-fourth\"/>
    </mc:Choice>
  </mc:AlternateContent>
  <xr:revisionPtr revIDLastSave="0" documentId="13_ncr:1_{882B2252-EDA0-497E-BB3F-A1CECC60E2EE}" xr6:coauthVersionLast="47" xr6:coauthVersionMax="47" xr10:uidLastSave="{00000000-0000-0000-0000-000000000000}"/>
  <bookViews>
    <workbookView xWindow="-120" yWindow="-120" windowWidth="38640" windowHeight="21120" xr2:uid="{7E6B5CA7-89C7-4236-BFC9-73BD41E36C9E}"/>
  </bookViews>
  <sheets>
    <sheet name="3차년도" sheetId="2" r:id="rId1"/>
    <sheet name="재정투자 계획 총괄표, 대응자금" sheetId="4" r:id="rId2"/>
    <sheet name="3차년도 사업비 편성 총괄표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2" l="1"/>
  <c r="F136" i="2" l="1"/>
  <c r="F132" i="2"/>
  <c r="G102" i="2"/>
  <c r="L117" i="2" l="1"/>
  <c r="G101" i="2"/>
  <c r="P52" i="2" l="1"/>
  <c r="G138" i="2"/>
  <c r="F137" i="2"/>
  <c r="G137" i="2" s="1"/>
  <c r="G136" i="2"/>
  <c r="G135" i="2"/>
  <c r="G134" i="2"/>
  <c r="G132" i="2"/>
  <c r="G9" i="2"/>
  <c r="G10" i="2"/>
  <c r="G8" i="2"/>
  <c r="P74" i="2"/>
  <c r="P8" i="2" l="1"/>
  <c r="P9" i="2"/>
  <c r="P10" i="2"/>
  <c r="P7" i="2"/>
  <c r="L93" i="2"/>
  <c r="G89" i="2" l="1"/>
  <c r="G7" i="2" l="1"/>
  <c r="P24" i="2"/>
  <c r="G21" i="2"/>
  <c r="G100" i="2"/>
  <c r="G183" i="2"/>
  <c r="G11" i="2" l="1"/>
  <c r="G99" i="2"/>
  <c r="G61" i="2" l="1"/>
  <c r="F88" i="2" l="1"/>
  <c r="G33" i="2"/>
  <c r="G32" i="2"/>
  <c r="G184" i="2"/>
  <c r="G87" i="2"/>
  <c r="G130" i="2"/>
  <c r="G155" i="2" l="1"/>
  <c r="D27" i="4" l="1"/>
  <c r="D32" i="4"/>
  <c r="J30" i="4"/>
  <c r="G24" i="2" l="1"/>
  <c r="G25" i="2"/>
  <c r="C120" i="2" l="1"/>
  <c r="G52" i="2"/>
  <c r="G72" i="2" l="1"/>
  <c r="G115" i="2"/>
  <c r="G114" i="2"/>
  <c r="G110" i="2"/>
  <c r="G111" i="2"/>
  <c r="G112" i="2"/>
  <c r="G113" i="2"/>
  <c r="G127" i="2"/>
  <c r="G128" i="2"/>
  <c r="G31" i="2" l="1"/>
  <c r="G30" i="2"/>
  <c r="G51" i="2"/>
  <c r="G53" i="2"/>
  <c r="R24" i="2"/>
  <c r="P25" i="2"/>
  <c r="P26" i="2" s="1"/>
  <c r="P21" i="2" s="1"/>
  <c r="D12" i="4" l="1"/>
  <c r="D15" i="4" s="1"/>
  <c r="G126" i="2" l="1"/>
  <c r="G125" i="2"/>
  <c r="H24" i="5" l="1"/>
  <c r="H6" i="5"/>
  <c r="F6" i="5"/>
  <c r="E24" i="5"/>
  <c r="E6" i="5"/>
  <c r="E22" i="4"/>
  <c r="E23" i="4"/>
  <c r="E24" i="4"/>
  <c r="E25" i="4"/>
  <c r="E26" i="4"/>
  <c r="E28" i="4"/>
  <c r="E29" i="4"/>
  <c r="H27" i="5" l="1"/>
  <c r="C31" i="4"/>
  <c r="C33" i="4" s="1"/>
  <c r="G71" i="2" l="1"/>
  <c r="P46" i="2" l="1"/>
  <c r="P47" i="2" l="1"/>
  <c r="P43" i="2" s="1"/>
  <c r="R43" i="2" s="1"/>
  <c r="F64" i="2" l="1"/>
  <c r="G64" i="2" s="1"/>
  <c r="F63" i="2"/>
  <c r="G63" i="2" s="1"/>
  <c r="F24" i="5" l="1"/>
  <c r="F27" i="5" s="1"/>
  <c r="E38" i="5"/>
  <c r="E37" i="5"/>
  <c r="E36" i="5"/>
  <c r="E35" i="5"/>
  <c r="E34" i="5"/>
  <c r="F34" i="5" s="1"/>
  <c r="E32" i="5"/>
  <c r="E31" i="5"/>
  <c r="G31" i="5" s="1"/>
  <c r="E27" i="5" l="1"/>
  <c r="E12" i="4" l="1"/>
  <c r="E15" i="4" s="1"/>
  <c r="G70" i="2" l="1"/>
  <c r="G73" i="2" s="1"/>
  <c r="C10" i="5" s="1"/>
  <c r="G29" i="2" l="1"/>
  <c r="G131" i="2" l="1"/>
  <c r="G88" i="2" l="1"/>
  <c r="L122" i="2" l="1"/>
  <c r="G44" i="2" l="1"/>
  <c r="G84" i="2" l="1"/>
  <c r="G85" i="2"/>
  <c r="G86" i="2"/>
  <c r="G91" i="2" l="1"/>
  <c r="G80" i="2" s="1"/>
  <c r="C11" i="5"/>
  <c r="R94" i="2" l="1"/>
  <c r="C176" i="2" s="1"/>
  <c r="G176" i="2" s="1"/>
  <c r="G60" i="2"/>
  <c r="G129" i="2" l="1"/>
  <c r="G139" i="2" s="1"/>
  <c r="C15" i="5" l="1"/>
  <c r="P80" i="2"/>
  <c r="G177" i="2" l="1"/>
  <c r="G109" i="2" l="1"/>
  <c r="G108" i="2"/>
  <c r="G116" i="2" l="1"/>
  <c r="C13" i="5" s="1"/>
  <c r="C188" i="2"/>
  <c r="G13" i="4" s="1"/>
  <c r="G14" i="4" s="1"/>
  <c r="G103" i="2"/>
  <c r="G156" i="2" l="1"/>
  <c r="G158" i="2"/>
  <c r="G157" i="2"/>
  <c r="G182" i="2"/>
  <c r="G170" i="2"/>
  <c r="G169" i="2"/>
  <c r="G120" i="2"/>
  <c r="G164" i="2"/>
  <c r="G163" i="2"/>
  <c r="G145" i="2"/>
  <c r="G144" i="2"/>
  <c r="G143" i="2"/>
  <c r="G150" i="2"/>
  <c r="G171" i="2" l="1"/>
  <c r="C22" i="5" s="1"/>
  <c r="P100" i="2" l="1"/>
  <c r="P99" i="2"/>
  <c r="P62" i="2"/>
  <c r="P40" i="2"/>
  <c r="P41" i="2" s="1"/>
  <c r="P33" i="2"/>
  <c r="P32" i="2"/>
  <c r="P31" i="2"/>
  <c r="L15" i="2"/>
  <c r="G97" i="2"/>
  <c r="G98" i="2"/>
  <c r="G47" i="2"/>
  <c r="G48" i="2"/>
  <c r="G49" i="2"/>
  <c r="G50" i="2"/>
  <c r="G28" i="2"/>
  <c r="G26" i="2"/>
  <c r="G27" i="2"/>
  <c r="G23" i="2"/>
  <c r="G22" i="2"/>
  <c r="G35" i="2"/>
  <c r="G36" i="2"/>
  <c r="G37" i="2"/>
  <c r="G38" i="2"/>
  <c r="G39" i="2"/>
  <c r="G40" i="2"/>
  <c r="G41" i="2"/>
  <c r="G42" i="2"/>
  <c r="G43" i="2"/>
  <c r="G34" i="2"/>
  <c r="G104" i="2" l="1"/>
  <c r="P103" i="2"/>
  <c r="P68" i="2"/>
  <c r="P54" i="2"/>
  <c r="C12" i="5" l="1"/>
  <c r="G159" i="2"/>
  <c r="C19" i="5" s="1"/>
  <c r="G151" i="2"/>
  <c r="C18" i="5" s="1"/>
  <c r="G146" i="2"/>
  <c r="C17" i="5" s="1"/>
  <c r="G121" i="2"/>
  <c r="C14" i="5" s="1"/>
  <c r="G77" i="2"/>
  <c r="G78" i="2" s="1"/>
  <c r="G46" i="2"/>
  <c r="G54" i="2" s="1"/>
  <c r="G16" i="2"/>
  <c r="G17" i="2" s="1"/>
  <c r="C5" i="5" s="1"/>
  <c r="C3" i="2"/>
  <c r="F6" i="4" l="1"/>
  <c r="G6" i="4"/>
  <c r="G45" i="2"/>
  <c r="G55" i="2" s="1"/>
  <c r="C19" i="2"/>
  <c r="G62" i="2"/>
  <c r="G65" i="2" s="1"/>
  <c r="C9" i="5" s="1"/>
  <c r="G12" i="2"/>
  <c r="C4" i="5" s="1"/>
  <c r="G185" i="2"/>
  <c r="C23" i="5" s="1"/>
  <c r="G165" i="2"/>
  <c r="C20" i="5" s="1"/>
  <c r="F10" i="4" l="1"/>
  <c r="G10" i="4"/>
  <c r="G19" i="2"/>
  <c r="C7" i="5"/>
  <c r="C8" i="5" s="1"/>
  <c r="C6" i="5"/>
  <c r="G57" i="2"/>
  <c r="F9" i="4" s="1"/>
  <c r="G5" i="2"/>
  <c r="R93" i="2"/>
  <c r="F7" i="4" l="1"/>
  <c r="G7" i="4"/>
  <c r="F8" i="4"/>
  <c r="G8" i="4"/>
  <c r="C175" i="2"/>
  <c r="G175" i="2" s="1"/>
  <c r="G178" i="2" s="1"/>
  <c r="P95" i="2"/>
  <c r="P49" i="2" l="1"/>
  <c r="R49" i="2" s="1"/>
  <c r="G94" i="2"/>
  <c r="G11" i="4" s="1"/>
  <c r="F11" i="4" l="1"/>
  <c r="C21" i="5"/>
  <c r="P11" i="2"/>
  <c r="P13" i="2" s="1"/>
  <c r="G3" i="2" l="1"/>
  <c r="H3" i="2" s="1"/>
  <c r="G9" i="4" s="1"/>
  <c r="G12" i="4" s="1"/>
  <c r="C24" i="5"/>
  <c r="C27" i="5" s="1"/>
  <c r="D21" i="5" s="1"/>
  <c r="F12" i="4"/>
  <c r="F15" i="4" s="1"/>
  <c r="P5" i="2"/>
  <c r="P3" i="2" s="1"/>
  <c r="D4" i="5" l="1"/>
  <c r="D12" i="5"/>
  <c r="D7" i="5"/>
  <c r="D8" i="5" s="1"/>
  <c r="D17" i="5"/>
  <c r="D14" i="5"/>
  <c r="D19" i="5"/>
  <c r="D25" i="5"/>
  <c r="D26" i="5" s="1"/>
  <c r="D18" i="5"/>
  <c r="D13" i="5"/>
  <c r="D5" i="5"/>
  <c r="D11" i="5"/>
  <c r="D10" i="5"/>
  <c r="D9" i="5"/>
  <c r="D15" i="5"/>
  <c r="D23" i="5"/>
  <c r="D16" i="5"/>
  <c r="D22" i="5"/>
  <c r="D20" i="5"/>
  <c r="G15" i="4"/>
  <c r="C17" i="4" s="1"/>
  <c r="D6" i="5" l="1"/>
  <c r="D24" i="5"/>
  <c r="H8" i="4"/>
  <c r="H13" i="4"/>
  <c r="H14" i="4" s="1"/>
  <c r="H7" i="4"/>
  <c r="H10" i="4"/>
  <c r="H6" i="4"/>
  <c r="H9" i="4"/>
  <c r="H11" i="4"/>
  <c r="G22" i="4"/>
  <c r="H22" i="4" s="1"/>
  <c r="E27" i="4"/>
  <c r="F24" i="4" s="1"/>
  <c r="D31" i="4"/>
  <c r="D33" i="4" s="1"/>
  <c r="D27" i="5" l="1"/>
  <c r="H12" i="4"/>
  <c r="H15" i="4" s="1"/>
</calcChain>
</file>

<file path=xl/sharedStrings.xml><?xml version="1.0" encoding="utf-8"?>
<sst xmlns="http://schemas.openxmlformats.org/spreadsheetml/2006/main" count="596" uniqueCount="338">
  <si>
    <t>직접비+간접비</t>
    <phoneticPr fontId="1" type="noConversion"/>
  </si>
  <si>
    <t>직접비</t>
    <phoneticPr fontId="1" type="noConversion"/>
  </si>
  <si>
    <t>현재까지 총액</t>
    <phoneticPr fontId="1" type="noConversion"/>
  </si>
  <si>
    <t>1)</t>
    <phoneticPr fontId="1" type="noConversion"/>
  </si>
  <si>
    <t>구분</t>
    <phoneticPr fontId="1" type="noConversion"/>
  </si>
  <si>
    <t>성명</t>
    <phoneticPr fontId="1" type="noConversion"/>
  </si>
  <si>
    <t>직위</t>
    <phoneticPr fontId="1" type="noConversion"/>
  </si>
  <si>
    <t>월 급여</t>
    <phoneticPr fontId="1" type="noConversion"/>
  </si>
  <si>
    <t>참여기간(개월)</t>
    <phoneticPr fontId="1" type="noConversion"/>
  </si>
  <si>
    <t>금액(원)</t>
    <phoneticPr fontId="1" type="noConversion"/>
  </si>
  <si>
    <t>소계</t>
    <phoneticPr fontId="1" type="noConversion"/>
  </si>
  <si>
    <t>합계</t>
    <phoneticPr fontId="1" type="noConversion"/>
  </si>
  <si>
    <t xml:space="preserve"> </t>
    <phoneticPr fontId="1" type="noConversion"/>
  </si>
  <si>
    <t>인센티브</t>
    <phoneticPr fontId="1" type="noConversion"/>
  </si>
  <si>
    <t>(정부출연금의 3%이내)</t>
    <phoneticPr fontId="1" type="noConversion"/>
  </si>
  <si>
    <t>산출내역</t>
    <phoneticPr fontId="1" type="noConversion"/>
  </si>
  <si>
    <t>2)</t>
    <phoneticPr fontId="1" type="noConversion"/>
  </si>
  <si>
    <t>학생 인건비</t>
    <phoneticPr fontId="1" type="noConversion"/>
  </si>
  <si>
    <t>교육 TA</t>
    <phoneticPr fontId="1" type="noConversion"/>
  </si>
  <si>
    <t>행정 TA</t>
    <phoneticPr fontId="1" type="noConversion"/>
  </si>
  <si>
    <t>3)</t>
    <phoneticPr fontId="1" type="noConversion"/>
  </si>
  <si>
    <t>연구시설장비비</t>
    <phoneticPr fontId="1" type="noConversion"/>
  </si>
  <si>
    <t>연구장비 구입 및 임차비</t>
    <phoneticPr fontId="1" type="noConversion"/>
  </si>
  <si>
    <t>품명</t>
    <phoneticPr fontId="1" type="noConversion"/>
  </si>
  <si>
    <t>용도</t>
    <phoneticPr fontId="1" type="noConversion"/>
  </si>
  <si>
    <t>단위</t>
    <phoneticPr fontId="1" type="noConversion"/>
  </si>
  <si>
    <t>수량</t>
    <phoneticPr fontId="1" type="noConversion"/>
  </si>
  <si>
    <t>단가(원)</t>
    <phoneticPr fontId="1" type="noConversion"/>
  </si>
  <si>
    <t>현금(원)</t>
    <phoneticPr fontId="1" type="noConversion"/>
  </si>
  <si>
    <t>교육시설 설비 구축 및 개선</t>
    <phoneticPr fontId="1" type="noConversion"/>
  </si>
  <si>
    <t>규격</t>
    <phoneticPr fontId="1" type="noConversion"/>
  </si>
  <si>
    <t>환경구축비</t>
    <phoneticPr fontId="1" type="noConversion"/>
  </si>
  <si>
    <t>4)</t>
    <phoneticPr fontId="1" type="noConversion"/>
  </si>
  <si>
    <t>연구재료비</t>
    <phoneticPr fontId="1" type="noConversion"/>
  </si>
  <si>
    <t>재료비</t>
    <phoneticPr fontId="1" type="noConversion"/>
  </si>
  <si>
    <t>단가</t>
    <phoneticPr fontId="1" type="noConversion"/>
  </si>
  <si>
    <t>5)</t>
    <phoneticPr fontId="1" type="noConversion"/>
  </si>
  <si>
    <t>연구활동비</t>
    <phoneticPr fontId="1" type="noConversion"/>
  </si>
  <si>
    <t>장학금</t>
    <phoneticPr fontId="1" type="noConversion"/>
  </si>
  <si>
    <t>출장비</t>
    <phoneticPr fontId="1" type="noConversion"/>
  </si>
  <si>
    <t>회의비</t>
    <phoneticPr fontId="1" type="noConversion"/>
  </si>
  <si>
    <t>연구인력 지원비</t>
    <phoneticPr fontId="1" type="noConversion"/>
  </si>
  <si>
    <t>연구실 운영비</t>
    <phoneticPr fontId="1" type="noConversion"/>
  </si>
  <si>
    <t>문헌구입비</t>
    <phoneticPr fontId="1" type="noConversion"/>
  </si>
  <si>
    <t>인쇄비</t>
    <phoneticPr fontId="1" type="noConversion"/>
  </si>
  <si>
    <t>운영경비-공공요금 등</t>
    <phoneticPr fontId="1" type="noConversion"/>
  </si>
  <si>
    <t>행사운영비</t>
    <phoneticPr fontId="1" type="noConversion"/>
  </si>
  <si>
    <t>교육운영비</t>
    <phoneticPr fontId="1" type="noConversion"/>
  </si>
  <si>
    <t>간접비 (5%)</t>
    <phoneticPr fontId="1" type="noConversion"/>
  </si>
  <si>
    <t>첨단융합학부</t>
    <phoneticPr fontId="1" type="noConversion"/>
  </si>
  <si>
    <t>컴퓨터공학부</t>
    <phoneticPr fontId="1" type="noConversion"/>
  </si>
  <si>
    <t>인건비</t>
    <phoneticPr fontId="1" type="noConversion"/>
  </si>
  <si>
    <t>안상민</t>
    <phoneticPr fontId="1" type="noConversion"/>
  </si>
  <si>
    <t>한인상</t>
    <phoneticPr fontId="1" type="noConversion"/>
  </si>
  <si>
    <t>소동혁</t>
    <phoneticPr fontId="1" type="noConversion"/>
  </si>
  <si>
    <t>유진일</t>
    <phoneticPr fontId="1" type="noConversion"/>
  </si>
  <si>
    <t>진명</t>
    <phoneticPr fontId="1" type="noConversion"/>
  </si>
  <si>
    <t>이주영</t>
    <phoneticPr fontId="1" type="noConversion"/>
  </si>
  <si>
    <t>김성주</t>
    <phoneticPr fontId="1" type="noConversion"/>
  </si>
  <si>
    <t>이찬</t>
    <phoneticPr fontId="1" type="noConversion"/>
  </si>
  <si>
    <t>윤태현(이철호 교수님)</t>
    <phoneticPr fontId="1" type="noConversion"/>
  </si>
  <si>
    <t>경진대회 TA</t>
    <phoneticPr fontId="1" type="noConversion"/>
  </si>
  <si>
    <t>고용예정</t>
    <phoneticPr fontId="1" type="noConversion"/>
  </si>
  <si>
    <t>행정</t>
    <phoneticPr fontId="1" type="noConversion"/>
  </si>
  <si>
    <t>졸업 장학금</t>
    <phoneticPr fontId="1" type="noConversion"/>
  </si>
  <si>
    <t>글로벌 장학금</t>
    <phoneticPr fontId="1" type="noConversion"/>
  </si>
  <si>
    <t>우수 장학금</t>
    <phoneticPr fontId="1" type="noConversion"/>
  </si>
  <si>
    <t>수량</t>
    <phoneticPr fontId="1" type="noConversion"/>
  </si>
  <si>
    <t>단가</t>
    <phoneticPr fontId="1" type="noConversion"/>
  </si>
  <si>
    <t>행정원</t>
    <phoneticPr fontId="1" type="noConversion"/>
  </si>
  <si>
    <t>연구활동 유지비</t>
  </si>
  <si>
    <t>구분</t>
  </si>
  <si>
    <t>산출내역</t>
  </si>
  <si>
    <t>EDA 용역</t>
  </si>
  <si>
    <t>GPU 용역</t>
  </si>
  <si>
    <t>합계</t>
  </si>
  <si>
    <t>소프트웨어 활용비</t>
    <phoneticPr fontId="1" type="noConversion"/>
  </si>
  <si>
    <t>업체에서 서버 관리 --&gt; 1년 단위 계약</t>
    <phoneticPr fontId="1" type="noConversion"/>
  </si>
  <si>
    <t>인쇄비 및 제본비</t>
    <phoneticPr fontId="1" type="noConversion"/>
  </si>
  <si>
    <t>홍보비(현수막)</t>
    <phoneticPr fontId="1" type="noConversion"/>
  </si>
  <si>
    <t>장학증서</t>
    <phoneticPr fontId="1" type="noConversion"/>
  </si>
  <si>
    <t>수료증</t>
    <phoneticPr fontId="1" type="noConversion"/>
  </si>
  <si>
    <t>프린터 토너</t>
    <phoneticPr fontId="1" type="noConversion"/>
  </si>
  <si>
    <t>A4 용지</t>
    <phoneticPr fontId="1" type="noConversion"/>
  </si>
  <si>
    <t>기타</t>
    <phoneticPr fontId="1" type="noConversion"/>
  </si>
  <si>
    <t>사무용품비</t>
  </si>
  <si>
    <t>우편요금</t>
    <phoneticPr fontId="1" type="noConversion"/>
  </si>
  <si>
    <t>회계법인 수수료</t>
    <phoneticPr fontId="1" type="noConversion"/>
  </si>
  <si>
    <t>교육부회의 (교수)</t>
    <phoneticPr fontId="1" type="noConversion"/>
  </si>
  <si>
    <t>교육부회의 (직원)</t>
    <phoneticPr fontId="1" type="noConversion"/>
  </si>
  <si>
    <t>국내출장</t>
  </si>
  <si>
    <t>학생간담회</t>
    <phoneticPr fontId="1" type="noConversion"/>
  </si>
  <si>
    <t>설문 기념품</t>
    <phoneticPr fontId="1" type="noConversion"/>
  </si>
  <si>
    <t>강사료</t>
    <phoneticPr fontId="1" type="noConversion"/>
  </si>
  <si>
    <t>109000 * 81</t>
    <phoneticPr fontId="1" type="noConversion"/>
  </si>
  <si>
    <t>5시간 x 3일 x 1명</t>
    <phoneticPr fontId="1" type="noConversion"/>
  </si>
  <si>
    <t>첫 한시간 30 + 이후부터 시간당 24만원</t>
    <phoneticPr fontId="1" type="noConversion"/>
  </si>
  <si>
    <t>첨단융합학부</t>
    <phoneticPr fontId="1" type="noConversion"/>
  </si>
  <si>
    <t>Keysight ADS</t>
    <phoneticPr fontId="1" type="noConversion"/>
  </si>
  <si>
    <t>솔버튼, 유니위크</t>
    <phoneticPr fontId="1" type="noConversion"/>
  </si>
  <si>
    <t>국내학회</t>
    <phoneticPr fontId="1" type="noConversion"/>
  </si>
  <si>
    <t>수요조사 기자재에서 추가</t>
    <phoneticPr fontId="1" type="noConversion"/>
  </si>
  <si>
    <t>50000 * 2</t>
    <phoneticPr fontId="1" type="noConversion"/>
  </si>
  <si>
    <t>GPU</t>
    <phoneticPr fontId="1" type="noConversion"/>
  </si>
  <si>
    <t>최우열</t>
    <phoneticPr fontId="1" type="noConversion"/>
  </si>
  <si>
    <t>Keysight ADS</t>
    <phoneticPr fontId="1" type="noConversion"/>
  </si>
  <si>
    <t>Cadence EMX</t>
    <phoneticPr fontId="1" type="noConversion"/>
  </si>
  <si>
    <t>윤상원</t>
    <phoneticPr fontId="1" type="noConversion"/>
  </si>
  <si>
    <t>Curve tracer</t>
    <phoneticPr fontId="1" type="noConversion"/>
  </si>
  <si>
    <t>IR 카메라</t>
    <phoneticPr fontId="1" type="noConversion"/>
  </si>
  <si>
    <t>김지현</t>
    <phoneticPr fontId="1" type="noConversion"/>
  </si>
  <si>
    <t>Si wafer</t>
    <phoneticPr fontId="1" type="noConversion"/>
  </si>
  <si>
    <t>소프트웨어 활용비</t>
    <phoneticPr fontId="1" type="noConversion"/>
  </si>
  <si>
    <t>장비</t>
    <phoneticPr fontId="1" type="noConversion"/>
  </si>
  <si>
    <t>재료</t>
    <phoneticPr fontId="1" type="noConversion"/>
  </si>
  <si>
    <t>Cadence 추가계약</t>
    <phoneticPr fontId="1" type="noConversion"/>
  </si>
  <si>
    <t>Synopsys 추가계약</t>
    <phoneticPr fontId="1" type="noConversion"/>
  </si>
  <si>
    <t>30000 * 61</t>
    <phoneticPr fontId="1" type="noConversion"/>
  </si>
  <si>
    <t>강훈경</t>
    <phoneticPr fontId="1" type="noConversion"/>
  </si>
  <si>
    <t>2025.01.02 : 40 --&gt; 61 증가</t>
    <phoneticPr fontId="1" type="noConversion"/>
  </si>
  <si>
    <r>
      <t xml:space="preserve">&lt; 재정투자 계획 총괄표&gt; </t>
    </r>
    <r>
      <rPr>
        <sz val="11"/>
        <color rgb="FF000000"/>
        <rFont val="함초롬바탕"/>
        <family val="1"/>
        <charset val="129"/>
      </rPr>
      <t>(단위 : 백만원, %)</t>
    </r>
  </si>
  <si>
    <t>구 분</t>
  </si>
  <si>
    <t>정부출연금(A)</t>
  </si>
  <si>
    <t>평균</t>
  </si>
  <si>
    <t>비율</t>
  </si>
  <si>
    <t>(%)</t>
  </si>
  <si>
    <t>민간투자지원*</t>
  </si>
  <si>
    <t>1차년도</t>
  </si>
  <si>
    <t>(‘23.3～’24.2)</t>
  </si>
  <si>
    <t>2차년도</t>
  </si>
  <si>
    <t>(‘24.3～’25.2)</t>
  </si>
  <si>
    <t>3차년도</t>
  </si>
  <si>
    <t>(‘25.3～’26.2)</t>
  </si>
  <si>
    <t>4차년도</t>
  </si>
  <si>
    <t>(‘26.3～’27.2)</t>
  </si>
  <si>
    <t>현금</t>
  </si>
  <si>
    <t>(a)</t>
  </si>
  <si>
    <t>현물</t>
  </si>
  <si>
    <t>(b)</t>
  </si>
  <si>
    <t>소계</t>
  </si>
  <si>
    <t>(a+b)</t>
  </si>
  <si>
    <t>이월금</t>
  </si>
  <si>
    <t>직접비</t>
  </si>
  <si>
    <t>인건비</t>
  </si>
  <si>
    <t>학생인건비</t>
  </si>
  <si>
    <t>연구시설·장비비</t>
  </si>
  <si>
    <t>연구재료비</t>
  </si>
  <si>
    <t>연구활동비</t>
  </si>
  <si>
    <t>간접비</t>
  </si>
  <si>
    <t>합 계</t>
  </si>
  <si>
    <t>합계 총합</t>
    <phoneticPr fontId="1" type="noConversion"/>
  </si>
  <si>
    <t>*이월금 포함</t>
  </si>
  <si>
    <r>
      <t xml:space="preserve">&lt; 3차년도 사업비 편성 총괄표&gt; </t>
    </r>
    <r>
      <rPr>
        <sz val="11"/>
        <color rgb="FF000000"/>
        <rFont val="함초롬바탕"/>
        <family val="1"/>
        <charset val="129"/>
      </rPr>
      <t>(단위 : 백만원, %)</t>
    </r>
  </si>
  <si>
    <t>정부출연금</t>
  </si>
  <si>
    <t>현금(a)</t>
  </si>
  <si>
    <t>현물(b)</t>
  </si>
  <si>
    <t>소계(a+b)</t>
  </si>
  <si>
    <t>직원 인건비</t>
  </si>
  <si>
    <t>인센티브</t>
  </si>
  <si>
    <t>연구장비 구입 및 임차비</t>
  </si>
  <si>
    <t>교육시설 설비 구축 및 개선</t>
  </si>
  <si>
    <t>재료비</t>
  </si>
  <si>
    <t>장학금</t>
  </si>
  <si>
    <t>출장비</t>
  </si>
  <si>
    <t>회의비</t>
  </si>
  <si>
    <t>연구인력 지원비</t>
  </si>
  <si>
    <t>연구실 운영비</t>
  </si>
  <si>
    <t>문헌구입비</t>
  </si>
  <si>
    <t>인쇄비</t>
  </si>
  <si>
    <t>운영경비-공공요금</t>
  </si>
  <si>
    <t>소프트웨어 활용비</t>
  </si>
  <si>
    <t>행사운영비</t>
  </si>
  <si>
    <t>교육운영비</t>
  </si>
  <si>
    <t>연구 재료비</t>
    <phoneticPr fontId="1" type="noConversion"/>
  </si>
  <si>
    <t>연구시설 장비비</t>
    <phoneticPr fontId="1" type="noConversion"/>
  </si>
  <si>
    <t>연구 활동비</t>
    <phoneticPr fontId="1" type="noConversion"/>
  </si>
  <si>
    <t>안삼</t>
    <phoneticPr fontId="1" type="noConversion"/>
  </si>
  <si>
    <t>FPGA실험보드및세트/'논리설계및실험' 교과목 실험</t>
    <phoneticPr fontId="1" type="noConversion"/>
  </si>
  <si>
    <t>회로실험보드및세트/'기초회로이론' 교과목 실험</t>
    <phoneticPr fontId="1" type="noConversion"/>
  </si>
  <si>
    <t>전선,소자및소모성재료/'기초회로이론, 논리설계및실험' 교과목 실험</t>
    <phoneticPr fontId="1" type="noConversion"/>
  </si>
  <si>
    <t>set</t>
    <phoneticPr fontId="1" type="noConversion"/>
  </si>
  <si>
    <t>컴퓨터공학부 세미나실 공사</t>
    <phoneticPr fontId="1" type="noConversion"/>
  </si>
  <si>
    <t>멘토 TA</t>
    <phoneticPr fontId="1" type="noConversion"/>
  </si>
  <si>
    <t>장비 TA</t>
    <phoneticPr fontId="1" type="noConversion"/>
  </si>
  <si>
    <t>GPU 관리 TA</t>
    <phoneticPr fontId="1" type="noConversion"/>
  </si>
  <si>
    <t>첨융 교육 TA</t>
    <phoneticPr fontId="1" type="noConversion"/>
  </si>
  <si>
    <t>첨융 칩 설계 TA</t>
    <phoneticPr fontId="1" type="noConversion"/>
  </si>
  <si>
    <t>구입</t>
    <phoneticPr fontId="1" type="noConversion"/>
  </si>
  <si>
    <t>컴퓨터공학부 세미나실 가구 및 기자재</t>
    <phoneticPr fontId="1" type="noConversion"/>
  </si>
  <si>
    <t>set</t>
    <phoneticPr fontId="1" type="noConversion"/>
  </si>
  <si>
    <t>우수 장학금</t>
    <phoneticPr fontId="1" type="noConversion"/>
  </si>
  <si>
    <t>교내 경진대회 상금</t>
    <phoneticPr fontId="1" type="noConversion"/>
  </si>
  <si>
    <t>논문 장학금</t>
    <phoneticPr fontId="1" type="noConversion"/>
  </si>
  <si>
    <t>Total</t>
    <phoneticPr fontId="1" type="noConversion"/>
  </si>
  <si>
    <t>첨단융합학부 교과목 기자재</t>
    <phoneticPr fontId="1" type="noConversion"/>
  </si>
  <si>
    <t>전기정보공학부 교과목 기자재</t>
    <phoneticPr fontId="1" type="noConversion"/>
  </si>
  <si>
    <t>소자 제작 (반공연 공정 이용)</t>
    <phoneticPr fontId="1" type="noConversion"/>
  </si>
  <si>
    <t>wafer</t>
    <phoneticPr fontId="1" type="noConversion"/>
  </si>
  <si>
    <t>EA</t>
    <phoneticPr fontId="1" type="noConversion"/>
  </si>
  <si>
    <t>100 * 1500</t>
    <phoneticPr fontId="1" type="noConversion"/>
  </si>
  <si>
    <t>모자란 금액 (99,990,000 - 95,987,810)만큼 본예산</t>
    <phoneticPr fontId="1" type="noConversion"/>
  </si>
  <si>
    <t>개선</t>
    <phoneticPr fontId="1" type="noConversion"/>
  </si>
  <si>
    <t>1유로 = 1500원</t>
    <phoneticPr fontId="1" type="noConversion"/>
  </si>
  <si>
    <t>1달러 = 1450원</t>
    <phoneticPr fontId="1" type="noConversion"/>
  </si>
  <si>
    <t>교육운영비
동영상 인센티브 1400
반공연 공정실습 1200
기업협업교과목 1200</t>
    <phoneticPr fontId="1" type="noConversion"/>
  </si>
  <si>
    <t>-</t>
    <phoneticPr fontId="1" type="noConversion"/>
  </si>
  <si>
    <t>삼성전자*</t>
  </si>
  <si>
    <t>SK 하이닉스</t>
  </si>
  <si>
    <t>교육운영비</t>
    <phoneticPr fontId="1" type="noConversion"/>
  </si>
  <si>
    <t>연구시설장비비</t>
    <phoneticPr fontId="1" type="noConversion"/>
  </si>
  <si>
    <t>참여교수 및 직원</t>
    <phoneticPr fontId="1" type="noConversion"/>
  </si>
  <si>
    <t>probe station</t>
    <phoneticPr fontId="1" type="noConversion"/>
  </si>
  <si>
    <t>B1500</t>
    <phoneticPr fontId="1" type="noConversion"/>
  </si>
  <si>
    <t>probe station: 86,850,000 + 조달청 수수료
B1500: 90,900,000 + 조달청 수수료</t>
    <phoneticPr fontId="1" type="noConversion"/>
  </si>
  <si>
    <t>행정전담인력</t>
  </si>
  <si>
    <t>Hall measurement</t>
    <phoneticPr fontId="1" type="noConversion"/>
  </si>
  <si>
    <t>분담금 (추후 확정 안내)</t>
    <phoneticPr fontId="1" type="noConversion"/>
  </si>
  <si>
    <t>솔버톤 수상자 항공권 (추후 확정 안내)</t>
    <phoneticPr fontId="1" type="noConversion"/>
  </si>
  <si>
    <t>9 ~ 12월 (추후 선발)</t>
    <phoneticPr fontId="1" type="noConversion"/>
  </si>
  <si>
    <t>행정원</t>
    <phoneticPr fontId="1" type="noConversion"/>
  </si>
  <si>
    <t>구분</t>
    <phoneticPr fontId="1" type="noConversion"/>
  </si>
  <si>
    <t>삼성전자</t>
    <phoneticPr fontId="1" type="noConversion"/>
  </si>
  <si>
    <t>sk하이닉스</t>
    <phoneticPr fontId="1" type="noConversion"/>
  </si>
  <si>
    <t>인센티브</t>
    <phoneticPr fontId="1" type="noConversion"/>
  </si>
  <si>
    <t>연구시설장비비</t>
    <phoneticPr fontId="1" type="noConversion"/>
  </si>
  <si>
    <t>연구활동비</t>
    <phoneticPr fontId="1" type="noConversion"/>
  </si>
  <si>
    <t>간접비</t>
    <phoneticPr fontId="1" type="noConversion"/>
  </si>
  <si>
    <t>회의비</t>
    <phoneticPr fontId="1" type="noConversion"/>
  </si>
  <si>
    <t>행사운영비</t>
    <phoneticPr fontId="1" type="noConversion"/>
  </si>
  <si>
    <t>출장비</t>
    <phoneticPr fontId="1" type="noConversion"/>
  </si>
  <si>
    <t>합계</t>
    <phoneticPr fontId="1" type="noConversion"/>
  </si>
  <si>
    <t>교육 운영비</t>
    <phoneticPr fontId="1" type="noConversion"/>
  </si>
  <si>
    <t>행사운영비: 엔지니어링하우스에서 간담회 할때 대관료 대응자금</t>
    <phoneticPr fontId="1" type="noConversion"/>
  </si>
  <si>
    <t>국내출장</t>
    <phoneticPr fontId="1" type="noConversion"/>
  </si>
  <si>
    <t>국내 학회</t>
    <phoneticPr fontId="1" type="noConversion"/>
  </si>
  <si>
    <t>장학생 여비 (항공권, 숙박비)</t>
    <phoneticPr fontId="1" type="noConversion"/>
  </si>
  <si>
    <t>500 400 300 200</t>
    <phoneticPr fontId="1" type="noConversion"/>
  </si>
  <si>
    <t xml:space="preserve">솔버톤+유니위크 전체 인원의 운임, 숙박, 식대, 보험료 등을 취합하여 청구. 세부예산을 산출하기 어려운 사항 </t>
    <phoneticPr fontId="1" type="noConversion"/>
  </si>
  <si>
    <t>행사개최 경비 (운임, 숙박, 식대, 보험료 등)</t>
    <phoneticPr fontId="1" type="noConversion"/>
  </si>
  <si>
    <t>Pulse Module</t>
    <phoneticPr fontId="1" type="noConversion"/>
  </si>
  <si>
    <t>납품 지연 --&gt; 심의, 계약은 완료되었으므로 이월 가능</t>
    <phoneticPr fontId="1" type="noConversion"/>
  </si>
  <si>
    <t>고용예정</t>
    <phoneticPr fontId="1" type="noConversion"/>
  </si>
  <si>
    <t>행정</t>
    <phoneticPr fontId="1" type="noConversion"/>
  </si>
  <si>
    <t>정제승</t>
    <phoneticPr fontId="1" type="noConversion"/>
  </si>
  <si>
    <t>김민선</t>
    <phoneticPr fontId="1" type="noConversion"/>
  </si>
  <si>
    <t>노혜리</t>
    <phoneticPr fontId="1" type="noConversion"/>
  </si>
  <si>
    <t>(99,990,000 - 95,987,810)만큼 본예산 추가, 
첨융 GPU 총 3대로 변경</t>
    <phoneticPr fontId="1" type="noConversion"/>
  </si>
  <si>
    <t>첨단융합학부 측정실, 서버실 가구 및 기자재</t>
    <phoneticPr fontId="1" type="noConversion"/>
  </si>
  <si>
    <t>측정실: 테이블1, 의자2 
서버실: Rack</t>
    <phoneticPr fontId="1" type="noConversion"/>
  </si>
  <si>
    <t>장학생 학회등록비 (IEEE APMC, 12/2~5)</t>
    <phoneticPr fontId="1" type="noConversion"/>
  </si>
  <si>
    <t>9 --&gt; 8</t>
    <phoneticPr fontId="1" type="noConversion"/>
  </si>
  <si>
    <t>교수 학회등록비(IEEE APMC, 12/2~5)</t>
    <phoneticPr fontId="1" type="noConversion"/>
  </si>
  <si>
    <t>3월 ~ 내년2월
--&gt; 이월금 사용 가능하면 바로 집행</t>
    <phoneticPr fontId="1" type="noConversion"/>
  </si>
  <si>
    <t>교내 경진대회 10명 + 우수 장학생 10명</t>
    <phoneticPr fontId="1" type="noConversion"/>
  </si>
  <si>
    <t>교수 여비 (항공권, 숙박비, 일비, 식비)</t>
    <phoneticPr fontId="1" type="noConversion"/>
  </si>
  <si>
    <t>실제 3달이나, 인건비 확보 위해 3 --&gt; 12개월</t>
    <phoneticPr fontId="1" type="noConversion"/>
  </si>
  <si>
    <t>오은석</t>
    <phoneticPr fontId="1" type="noConversion"/>
  </si>
  <si>
    <t>행정</t>
    <phoneticPr fontId="1" type="noConversion"/>
  </si>
  <si>
    <t>인건비 확보 위해 새로 추가</t>
    <phoneticPr fontId="1" type="noConversion"/>
  </si>
  <si>
    <t>1학기, 2학기만.
인건비 확보 위해 10 --&gt; 90 증액</t>
    <phoneticPr fontId="1" type="noConversion"/>
  </si>
  <si>
    <t>대한전기학회 APAP 2025</t>
    <phoneticPr fontId="1" type="noConversion"/>
  </si>
  <si>
    <t>IEEE APMC 2024</t>
    <phoneticPr fontId="1" type="noConversion"/>
  </si>
  <si>
    <t>실험보드(디지털시스템설계및실험/임베디드시스템설계)</t>
    <phoneticPr fontId="1" type="noConversion"/>
  </si>
  <si>
    <t>항공권 30 + 숙박비 24*4 + 일비 4*4 + 식비 3*4 = 184 / 100만원(만찬 포함) 2024, 환불X</t>
    <phoneticPr fontId="1" type="noConversion"/>
  </si>
  <si>
    <t xml:space="preserve">우수 장학생 10명
항공권 20 + 숙박비 12*4 = 68
학부생 80만원(등록72+만찬8) 2024, 환불X </t>
    <phoneticPr fontId="1" type="noConversion"/>
  </si>
  <si>
    <r>
      <t xml:space="preserve">항공권 20 + 숙박비 12*4 = 68
학부생 70만원(등록56+만찬14) </t>
    </r>
    <r>
      <rPr>
        <u/>
        <sz val="11"/>
        <rFont val="맑은 고딕"/>
        <family val="3"/>
        <charset val="129"/>
        <scheme val="minor"/>
      </rPr>
      <t>7.31까지 등록</t>
    </r>
    <phoneticPr fontId="1" type="noConversion"/>
  </si>
  <si>
    <t>장비 TA</t>
    <phoneticPr fontId="1" type="noConversion"/>
  </si>
  <si>
    <t>황동호</t>
    <phoneticPr fontId="1" type="noConversion"/>
  </si>
  <si>
    <t>(258,500,000 - 78,879,760) 만큼 본예산</t>
    <phoneticPr fontId="1" type="noConversion"/>
  </si>
  <si>
    <t>(292,600,000 - 78,879,760) 만큼 본예산</t>
    <phoneticPr fontId="1" type="noConversion"/>
  </si>
  <si>
    <t>단가 낮추고 명수 증가</t>
    <phoneticPr fontId="1" type="noConversion"/>
  </si>
  <si>
    <t>국내 100*3 + 국외 200*5 = 1300</t>
    <phoneticPr fontId="1" type="noConversion"/>
  </si>
  <si>
    <t>예산은 60,000,000으로 크게 감소. 나중에 끌어와야 함(아마 학회)</t>
    <phoneticPr fontId="1" type="noConversion"/>
  </si>
  <si>
    <t>5000+1180(이월금)</t>
    <phoneticPr fontId="1" type="noConversion"/>
  </si>
  <si>
    <t>3750+1333(이월금)</t>
    <phoneticPr fontId="1" type="noConversion"/>
  </si>
  <si>
    <t>25900*181</t>
    <phoneticPr fontId="1" type="noConversion"/>
  </si>
  <si>
    <t>간담회 81명, KIAT 원장 100명</t>
    <phoneticPr fontId="1" type="noConversion"/>
  </si>
  <si>
    <t>삭제</t>
    <phoneticPr fontId="1" type="noConversion"/>
  </si>
  <si>
    <t>학부생: 현재 기준 졸업생 제외 130명</t>
    <phoneticPr fontId="1" type="noConversion"/>
  </si>
  <si>
    <t>180 * 5,000</t>
    <phoneticPr fontId="1" type="noConversion"/>
  </si>
  <si>
    <t>측정및공정실습 - 4인치 웨이퍼</t>
    <phoneticPr fontId="1" type="noConversion"/>
  </si>
  <si>
    <t xml:space="preserve">화학생물공학부 교과목 기자재 </t>
    <phoneticPr fontId="1" type="noConversion"/>
  </si>
  <si>
    <t>프로브팁 제외 - 4인치 웨이퍼 배분 (남은 3,356,000원은 본예산)</t>
    <phoneticPr fontId="1" type="noConversion"/>
  </si>
  <si>
    <t>450만원 중 1,144,000은 이월금에서</t>
    <phoneticPr fontId="1" type="noConversion"/>
  </si>
  <si>
    <t>3차년도 교내경진대회 1달로 축소 (6월)</t>
    <phoneticPr fontId="1" type="noConversion"/>
  </si>
  <si>
    <t>트위져, 웨이퍼 홀더 등 기자재</t>
    <phoneticPr fontId="1" type="noConversion"/>
  </si>
  <si>
    <t>해외 연구소 인턴 6000000 * 6</t>
    <phoneticPr fontId="1" type="noConversion"/>
  </si>
  <si>
    <t>이수 장학금</t>
    <phoneticPr fontId="1" type="noConversion"/>
  </si>
  <si>
    <t>특강 보조 TA</t>
    <phoneticPr fontId="1" type="noConversion"/>
  </si>
  <si>
    <t>장학생 학회등록비 (대한전자공학회, 6/24-27)</t>
    <phoneticPr fontId="1" type="noConversion"/>
  </si>
  <si>
    <t>경진대회 인솔자 여비 (항공권, 숙박비, 일비, 식비)</t>
    <phoneticPr fontId="1" type="noConversion"/>
  </si>
  <si>
    <t>경진대회 인솔자 학회등록비 (대한전자공학회, 6/24-27)</t>
    <phoneticPr fontId="1" type="noConversion"/>
  </si>
  <si>
    <t>출장 인솔 행정TA 여비 (항공권, 숙박비, 일비, 식비)</t>
    <phoneticPr fontId="1" type="noConversion"/>
  </si>
  <si>
    <t>출장 인솔 행정TA  학회등록비 (대한전자공학회, 6-24-27)</t>
    <phoneticPr fontId="1" type="noConversion"/>
  </si>
  <si>
    <t>해외 강의 수강 및 교환학생 100000 * 5</t>
    <phoneticPr fontId="1" type="noConversion"/>
  </si>
  <si>
    <t>최환히찬</t>
    <phoneticPr fontId="1" type="noConversion"/>
  </si>
  <si>
    <t>최해찬</t>
    <phoneticPr fontId="1" type="noConversion"/>
  </si>
  <si>
    <t>산학협력장학금</t>
    <phoneticPr fontId="1" type="noConversion"/>
  </si>
  <si>
    <t>반도체 기업 인턴 1500000 * 30</t>
    <phoneticPr fontId="1" type="noConversion"/>
  </si>
  <si>
    <t>26 8월 8명 + 27 2월 17명 = 25명</t>
    <phoneticPr fontId="1" type="noConversion"/>
  </si>
  <si>
    <t>조교활용비 (설계)</t>
    <phoneticPr fontId="1" type="noConversion"/>
  </si>
  <si>
    <t>조교활용비 (소자)</t>
    <phoneticPr fontId="1" type="noConversion"/>
  </si>
  <si>
    <t>600,000원 * 3명</t>
    <phoneticPr fontId="1" type="noConversion"/>
  </si>
  <si>
    <t>450,000원 * 3명</t>
    <phoneticPr fontId="1" type="noConversion"/>
  </si>
  <si>
    <t>1500만원 이월금 확보</t>
    <phoneticPr fontId="1" type="noConversion"/>
  </si>
  <si>
    <t>4차년도 예산</t>
    <phoneticPr fontId="1" type="noConversion"/>
  </si>
  <si>
    <t>공정비 지원</t>
    <phoneticPr fontId="1" type="noConversion"/>
  </si>
  <si>
    <t>이월금에서 3, 4월 분 지급 (협약 일정 항상 늦음)</t>
    <phoneticPr fontId="1" type="noConversion"/>
  </si>
  <si>
    <t>3차년도 완료</t>
    <phoneticPr fontId="1" type="noConversion"/>
  </si>
  <si>
    <t>EDA tool (시높시스, 케이던스) 인수인계 기간</t>
    <phoneticPr fontId="1" type="noConversion"/>
  </si>
  <si>
    <t>21개월 약 420만원</t>
    <phoneticPr fontId="1" type="noConversion"/>
  </si>
  <si>
    <t>18개월 약 360만원</t>
    <phoneticPr fontId="1" type="noConversion"/>
  </si>
  <si>
    <t>30000*81 + 1000000</t>
    <phoneticPr fontId="1" type="noConversion"/>
  </si>
  <si>
    <t>첨융 교육 TA (계절)</t>
    <phoneticPr fontId="1" type="noConversion"/>
  </si>
  <si>
    <t>한호철</t>
    <phoneticPr fontId="1" type="noConversion"/>
  </si>
  <si>
    <t>공정재료비 / 공정처리비 지원</t>
    <phoneticPr fontId="1" type="noConversion"/>
  </si>
  <si>
    <t>장비총합</t>
    <phoneticPr fontId="1" type="noConversion"/>
  </si>
  <si>
    <t>권상미</t>
    <phoneticPr fontId="1" type="noConversion"/>
  </si>
  <si>
    <t>3차년도 이월금</t>
    <phoneticPr fontId="1" type="noConversion"/>
  </si>
  <si>
    <t>첨융 학기이수 적립금</t>
    <phoneticPr fontId="1" type="noConversion"/>
  </si>
  <si>
    <t>6000000*69</t>
    <phoneticPr fontId="1" type="noConversion"/>
  </si>
  <si>
    <t>국제 반도체 교육 참가</t>
    <phoneticPr fontId="1" type="noConversion"/>
  </si>
  <si>
    <t>비행기</t>
    <phoneticPr fontId="1" type="noConversion"/>
  </si>
  <si>
    <t>교육비 (인당 400불)</t>
    <phoneticPr fontId="1" type="noConversion"/>
  </si>
  <si>
    <t>8500000*25</t>
    <phoneticPr fontId="1" type="noConversion"/>
  </si>
  <si>
    <t>2000000 * 40</t>
    <phoneticPr fontId="1" type="noConversion"/>
  </si>
  <si>
    <t>행사 참가 우수장학금 (부산워크샵 포스터발표 등)</t>
    <phoneticPr fontId="1" type="noConversion"/>
  </si>
  <si>
    <t>첨융 3차-66명 + 4차-71명 기준, 24학점: 480 / 16학점: 320 / 이수장학생 130 + 15(3차융합) + 10(4차융합) - 25(4차년도 졸업) - 61(3차년도 졸업)</t>
    <phoneticPr fontId="1" type="noConversion"/>
  </si>
  <si>
    <t>행사참여시 (포스터 발표 등) 우수장학금 지급 + 우수포스터 선정</t>
    <phoneticPr fontId="1" type="noConversion"/>
  </si>
  <si>
    <t>양수림</t>
    <phoneticPr fontId="1" type="noConversion"/>
  </si>
  <si>
    <t>(40*6000000+26*2000000+40*2000000)+(40*2800000+31*1600000)</t>
    <phoneticPr fontId="1" type="noConversion"/>
  </si>
  <si>
    <t>김영인</t>
    <phoneticPr fontId="1" type="noConversion"/>
  </si>
  <si>
    <t>김진욱</t>
    <phoneticPr fontId="1" type="noConversion"/>
  </si>
  <si>
    <t>비행기 - MIT</t>
    <phoneticPr fontId="1" type="noConversion"/>
  </si>
  <si>
    <t>MIT 여비 (4박 5일)</t>
    <phoneticPr fontId="1" type="noConversion"/>
  </si>
  <si>
    <t>일본 여비 (4박 5일)</t>
    <phoneticPr fontId="1" type="noConversion"/>
  </si>
  <si>
    <t>일본 교육비 (1만불)</t>
    <phoneticPr fontId="1" type="noConversion"/>
  </si>
  <si>
    <t>일본 비행기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</si>
</sst>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0.00_ "/>
    <numFmt numFmtId="178" formatCode="0.00_);[Red]\(0.00\)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함초롬바탕"/>
      <family val="1"/>
      <charset val="129"/>
    </font>
    <font>
      <b/>
      <sz val="11"/>
      <color rgb="FF000000"/>
      <name val="맑은 고딕"/>
      <family val="3"/>
      <charset val="129"/>
      <scheme val="minor"/>
    </font>
    <font>
      <b/>
      <sz val="13"/>
      <color rgb="FF000000"/>
      <name val="함초롬바탕"/>
      <family val="1"/>
      <charset val="129"/>
    </font>
    <font>
      <sz val="10"/>
      <color rgb="FF000000"/>
      <name val="함초롬바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trike/>
      <sz val="10"/>
      <color rgb="FF000000"/>
      <name val="함초롬바탕"/>
      <family val="1"/>
      <charset val="129"/>
    </font>
    <font>
      <strike/>
      <sz val="10"/>
      <color rgb="FF000000"/>
      <name val="함초롬바탕"/>
      <family val="1"/>
      <charset val="129"/>
    </font>
    <font>
      <b/>
      <sz val="11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FEEB"/>
        <bgColor indexed="64"/>
      </patternFill>
    </fill>
    <fill>
      <patternFill patternType="solid">
        <fgColor rgb="FFFFE7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59595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595959"/>
      </bottom>
      <diagonal/>
    </border>
    <border>
      <left/>
      <right/>
      <top/>
      <bottom style="thick">
        <color rgb="FF595959"/>
      </bottom>
      <diagonal/>
    </border>
    <border>
      <left style="thick">
        <color rgb="FF595959"/>
      </left>
      <right/>
      <top style="thick">
        <color rgb="FF595959"/>
      </top>
      <bottom/>
      <diagonal/>
    </border>
    <border>
      <left/>
      <right style="thin">
        <color rgb="FF000000"/>
      </right>
      <top style="thick">
        <color rgb="FF595959"/>
      </top>
      <bottom/>
      <diagonal/>
    </border>
    <border>
      <left style="thick">
        <color rgb="FF595959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595959"/>
      </top>
      <bottom style="thin">
        <color rgb="FF000000"/>
      </bottom>
      <diagonal/>
    </border>
    <border>
      <left/>
      <right/>
      <top style="thick">
        <color rgb="FF59595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59595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595959"/>
      </right>
      <top style="thick">
        <color rgb="FF595959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/>
      <diagonal/>
    </border>
    <border>
      <left style="thin">
        <color rgb="FF000000"/>
      </left>
      <right style="thick">
        <color rgb="FF595959"/>
      </right>
      <top/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n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595959"/>
      </top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595959"/>
      </left>
      <right/>
      <top style="thin">
        <color rgb="FF000000"/>
      </top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ck">
        <color rgb="FF595959"/>
      </left>
      <right/>
      <top style="thin">
        <color rgb="FF000000"/>
      </top>
      <bottom style="thick">
        <color rgb="FF595959"/>
      </bottom>
      <diagonal/>
    </border>
    <border>
      <left/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ck">
        <color rgb="FF595959"/>
      </bottom>
      <diagonal/>
    </border>
    <border>
      <left style="thick">
        <color rgb="FF595959"/>
      </left>
      <right style="thin">
        <color rgb="FF000000"/>
      </right>
      <top style="thick">
        <color rgb="FF595959"/>
      </top>
      <bottom/>
      <diagonal/>
    </border>
    <border>
      <left style="thick">
        <color rgb="FF595959"/>
      </left>
      <right style="thin">
        <color rgb="FF000000"/>
      </right>
      <top/>
      <bottom/>
      <diagonal/>
    </border>
    <border>
      <left style="thick">
        <color rgb="FF59595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595959"/>
      </top>
      <bottom/>
      <diagonal/>
    </border>
    <border>
      <left/>
      <right/>
      <top style="thick">
        <color rgb="FF595959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595959"/>
      </right>
      <top style="thick">
        <color rgb="FF595959"/>
      </top>
      <bottom/>
      <diagonal/>
    </border>
    <border>
      <left/>
      <right style="thick">
        <color rgb="FF595959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59595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595959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76" fontId="2" fillId="0" borderId="5" xfId="0" applyNumberFormat="1" applyFont="1" applyBorder="1">
      <alignment vertical="center"/>
    </xf>
    <xf numFmtId="176" fontId="2" fillId="0" borderId="4" xfId="0" applyNumberFormat="1" applyFont="1" applyBorder="1" applyAlignment="1">
      <alignment horizontal="right" vertical="center"/>
    </xf>
    <xf numFmtId="176" fontId="2" fillId="0" borderId="0" xfId="0" applyNumberFormat="1" applyFont="1">
      <alignment vertical="center"/>
    </xf>
    <xf numFmtId="176" fontId="2" fillId="0" borderId="4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13" xfId="0" applyNumberFormat="1" applyFont="1" applyBorder="1">
      <alignment vertical="center"/>
    </xf>
    <xf numFmtId="176" fontId="2" fillId="0" borderId="8" xfId="0" applyNumberFormat="1" applyFont="1" applyBorder="1" applyAlignment="1">
      <alignment horizontal="right" vertical="center"/>
    </xf>
    <xf numFmtId="176" fontId="2" fillId="0" borderId="0" xfId="0" applyNumberFormat="1" applyFont="1" applyAlignment="1">
      <alignment horizontal="left" vertical="center"/>
    </xf>
    <xf numFmtId="176" fontId="3" fillId="0" borderId="0" xfId="0" applyNumberFormat="1" applyFont="1">
      <alignment vertical="center"/>
    </xf>
    <xf numFmtId="176" fontId="4" fillId="3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3" borderId="0" xfId="0" applyNumberFormat="1" applyFont="1" applyFill="1">
      <alignment vertical="center"/>
    </xf>
    <xf numFmtId="176" fontId="3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 wrapText="1"/>
    </xf>
    <xf numFmtId="4" fontId="6" fillId="0" borderId="18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4" fontId="6" fillId="0" borderId="19" xfId="0" applyNumberFormat="1" applyFont="1" applyBorder="1" applyAlignment="1">
      <alignment horizontal="center" vertical="center" wrapText="1"/>
    </xf>
    <xf numFmtId="4" fontId="6" fillId="0" borderId="20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3" fontId="6" fillId="4" borderId="21" xfId="0" applyNumberFormat="1" applyFont="1" applyFill="1" applyBorder="1" applyAlignment="1">
      <alignment horizontal="center" vertical="center" wrapText="1"/>
    </xf>
    <xf numFmtId="4" fontId="6" fillId="4" borderId="21" xfId="0" applyNumberFormat="1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3" fontId="8" fillId="5" borderId="22" xfId="0" applyNumberFormat="1" applyFont="1" applyFill="1" applyBorder="1" applyAlignment="1">
      <alignment horizontal="center" vertical="center" wrapText="1"/>
    </xf>
    <xf numFmtId="4" fontId="8" fillId="5" borderId="22" xfId="0" applyNumberFormat="1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 wrapText="1"/>
    </xf>
    <xf numFmtId="0" fontId="6" fillId="6" borderId="38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9" fillId="5" borderId="4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32" xfId="0" applyFill="1" applyBorder="1" applyAlignment="1">
      <alignment vertical="center" wrapText="1"/>
    </xf>
    <xf numFmtId="0" fontId="8" fillId="5" borderId="57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5" borderId="45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8" fillId="5" borderId="30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37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176" fontId="2" fillId="0" borderId="17" xfId="0" applyNumberFormat="1" applyFont="1" applyBorder="1">
      <alignment vertical="center"/>
    </xf>
    <xf numFmtId="176" fontId="3" fillId="2" borderId="0" xfId="0" applyNumberFormat="1" applyFont="1" applyFill="1" applyAlignment="1">
      <alignment horizontal="center" vertical="center"/>
    </xf>
    <xf numFmtId="0" fontId="8" fillId="0" borderId="58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76" fontId="3" fillId="0" borderId="17" xfId="0" applyNumberFormat="1" applyFont="1" applyBorder="1">
      <alignment vertical="center"/>
    </xf>
    <xf numFmtId="0" fontId="12" fillId="0" borderId="0" xfId="0" applyFont="1">
      <alignment vertical="center"/>
    </xf>
    <xf numFmtId="0" fontId="7" fillId="0" borderId="18" xfId="0" quotePrefix="1" applyFont="1" applyBorder="1" applyAlignment="1">
      <alignment horizontal="center" vertical="center" wrapText="1"/>
    </xf>
    <xf numFmtId="0" fontId="7" fillId="4" borderId="21" xfId="0" quotePrefix="1" applyFont="1" applyFill="1" applyBorder="1" applyAlignment="1">
      <alignment horizontal="center" vertical="center" wrapText="1"/>
    </xf>
    <xf numFmtId="0" fontId="7" fillId="0" borderId="21" xfId="0" quotePrefix="1" applyFont="1" applyBorder="1" applyAlignment="1">
      <alignment horizontal="center" vertical="center" wrapText="1"/>
    </xf>
    <xf numFmtId="0" fontId="9" fillId="5" borderId="22" xfId="0" quotePrefix="1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justify" vertical="center" wrapText="1"/>
    </xf>
    <xf numFmtId="0" fontId="11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7" fillId="0" borderId="36" xfId="0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vertical="center" wrapText="1"/>
    </xf>
    <xf numFmtId="176" fontId="3" fillId="0" borderId="4" xfId="0" applyNumberFormat="1" applyFont="1" applyBorder="1">
      <alignment vertical="center"/>
    </xf>
    <xf numFmtId="176" fontId="3" fillId="0" borderId="17" xfId="0" applyNumberFormat="1" applyFont="1" applyBorder="1" applyAlignment="1">
      <alignment vertical="center" wrapText="1"/>
    </xf>
    <xf numFmtId="176" fontId="3" fillId="0" borderId="9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right" vertical="center"/>
    </xf>
    <xf numFmtId="176" fontId="3" fillId="0" borderId="4" xfId="0" applyNumberFormat="1" applyFont="1" applyBorder="1" applyAlignment="1">
      <alignment horizontal="right" vertical="center"/>
    </xf>
    <xf numFmtId="176" fontId="3" fillId="0" borderId="17" xfId="0" applyNumberFormat="1" applyFont="1" applyBorder="1" applyAlignment="1">
      <alignment horizontal="center" vertical="center"/>
    </xf>
    <xf numFmtId="176" fontId="2" fillId="9" borderId="9" xfId="0" applyNumberFormat="1" applyFont="1" applyFill="1" applyBorder="1" applyAlignment="1">
      <alignment horizontal="center" vertical="center"/>
    </xf>
    <xf numFmtId="176" fontId="2" fillId="9" borderId="4" xfId="0" applyNumberFormat="1" applyFont="1" applyFill="1" applyBorder="1" applyAlignment="1">
      <alignment horizontal="center" vertical="center"/>
    </xf>
    <xf numFmtId="176" fontId="3" fillId="9" borderId="4" xfId="0" applyNumberFormat="1" applyFont="1" applyFill="1" applyBorder="1" applyAlignment="1">
      <alignment horizontal="center" vertical="center"/>
    </xf>
    <xf numFmtId="176" fontId="3" fillId="0" borderId="7" xfId="0" applyNumberFormat="1" applyFont="1" applyBorder="1">
      <alignment vertical="center"/>
    </xf>
    <xf numFmtId="176" fontId="3" fillId="0" borderId="8" xfId="0" applyNumberFormat="1" applyFont="1" applyBorder="1">
      <alignment vertical="center"/>
    </xf>
    <xf numFmtId="41" fontId="0" fillId="0" borderId="0" xfId="1" applyFont="1">
      <alignment vertical="center"/>
    </xf>
    <xf numFmtId="41" fontId="12" fillId="8" borderId="4" xfId="1" applyFont="1" applyFill="1" applyBorder="1">
      <alignment vertical="center"/>
    </xf>
    <xf numFmtId="41" fontId="15" fillId="0" borderId="4" xfId="1" applyFont="1" applyBorder="1">
      <alignment vertical="center"/>
    </xf>
    <xf numFmtId="41" fontId="0" fillId="0" borderId="4" xfId="1" applyFont="1" applyBorder="1">
      <alignment vertical="center"/>
    </xf>
    <xf numFmtId="41" fontId="12" fillId="8" borderId="9" xfId="1" applyFont="1" applyFill="1" applyBorder="1">
      <alignment vertical="center"/>
    </xf>
    <xf numFmtId="41" fontId="15" fillId="0" borderId="9" xfId="1" applyFont="1" applyBorder="1">
      <alignment vertical="center"/>
    </xf>
    <xf numFmtId="41" fontId="20" fillId="0" borderId="4" xfId="1" applyFont="1" applyBorder="1">
      <alignment vertical="center"/>
    </xf>
    <xf numFmtId="41" fontId="12" fillId="0" borderId="0" xfId="1" applyFont="1" applyAlignment="1">
      <alignment vertical="center"/>
    </xf>
    <xf numFmtId="41" fontId="15" fillId="0" borderId="0" xfId="1" applyFont="1">
      <alignment vertical="center"/>
    </xf>
    <xf numFmtId="41" fontId="20" fillId="0" borderId="0" xfId="1" applyFont="1">
      <alignment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 wrapText="1"/>
    </xf>
    <xf numFmtId="177" fontId="6" fillId="4" borderId="21" xfId="0" applyNumberFormat="1" applyFont="1" applyFill="1" applyBorder="1" applyAlignment="1">
      <alignment horizontal="center" vertical="center" wrapText="1"/>
    </xf>
    <xf numFmtId="41" fontId="15" fillId="0" borderId="4" xfId="1" applyFont="1" applyFill="1" applyBorder="1">
      <alignment vertical="center"/>
    </xf>
    <xf numFmtId="178" fontId="6" fillId="0" borderId="21" xfId="0" applyNumberFormat="1" applyFont="1" applyBorder="1" applyAlignment="1">
      <alignment horizontal="center" vertical="center" wrapText="1"/>
    </xf>
    <xf numFmtId="178" fontId="7" fillId="0" borderId="21" xfId="0" applyNumberFormat="1" applyFont="1" applyBorder="1" applyAlignment="1">
      <alignment horizontal="center" vertical="center" wrapText="1"/>
    </xf>
    <xf numFmtId="178" fontId="6" fillId="4" borderId="21" xfId="0" applyNumberFormat="1" applyFont="1" applyFill="1" applyBorder="1" applyAlignment="1">
      <alignment horizontal="center" vertical="center" wrapText="1"/>
    </xf>
    <xf numFmtId="178" fontId="7" fillId="4" borderId="21" xfId="0" applyNumberFormat="1" applyFont="1" applyFill="1" applyBorder="1" applyAlignment="1">
      <alignment horizontal="center" vertical="center" wrapText="1"/>
    </xf>
    <xf numFmtId="178" fontId="7" fillId="0" borderId="36" xfId="0" applyNumberFormat="1" applyFont="1" applyBorder="1" applyAlignment="1">
      <alignment horizontal="center" vertical="center" wrapText="1"/>
    </xf>
    <xf numFmtId="178" fontId="8" fillId="5" borderId="22" xfId="0" applyNumberFormat="1" applyFont="1" applyFill="1" applyBorder="1" applyAlignment="1">
      <alignment horizontal="center" vertical="center" wrapText="1"/>
    </xf>
    <xf numFmtId="178" fontId="9" fillId="5" borderId="22" xfId="0" applyNumberFormat="1" applyFont="1" applyFill="1" applyBorder="1" applyAlignment="1">
      <alignment horizontal="center" vertical="center" wrapText="1"/>
    </xf>
    <xf numFmtId="178" fontId="6" fillId="0" borderId="18" xfId="0" applyNumberFormat="1" applyFont="1" applyBorder="1" applyAlignment="1">
      <alignment horizontal="center" vertical="center" wrapText="1"/>
    </xf>
    <xf numFmtId="178" fontId="6" fillId="0" borderId="19" xfId="0" applyNumberFormat="1" applyFont="1" applyBorder="1" applyAlignment="1">
      <alignment horizontal="center" vertical="center" wrapText="1"/>
    </xf>
    <xf numFmtId="178" fontId="6" fillId="0" borderId="20" xfId="0" applyNumberFormat="1" applyFont="1" applyBorder="1" applyAlignment="1">
      <alignment horizontal="center" vertical="center" wrapText="1"/>
    </xf>
    <xf numFmtId="176" fontId="2" fillId="0" borderId="17" xfId="0" applyNumberFormat="1" applyFont="1" applyBorder="1" applyAlignment="1">
      <alignment horizontal="center" vertical="center"/>
    </xf>
    <xf numFmtId="176" fontId="2" fillId="7" borderId="4" xfId="0" applyNumberFormat="1" applyFont="1" applyFill="1" applyBorder="1">
      <alignment vertical="center"/>
    </xf>
    <xf numFmtId="176" fontId="2" fillId="7" borderId="4" xfId="0" applyNumberFormat="1" applyFont="1" applyFill="1" applyBorder="1" applyAlignment="1">
      <alignment horizontal="right" vertical="center"/>
    </xf>
    <xf numFmtId="176" fontId="12" fillId="0" borderId="4" xfId="0" applyNumberFormat="1" applyFont="1" applyBorder="1" applyAlignment="1">
      <alignment horizontal="center" vertical="center"/>
    </xf>
    <xf numFmtId="176" fontId="12" fillId="0" borderId="4" xfId="0" applyNumberFormat="1" applyFont="1" applyBorder="1">
      <alignment vertical="center"/>
    </xf>
    <xf numFmtId="176" fontId="12" fillId="0" borderId="4" xfId="0" applyNumberFormat="1" applyFont="1" applyBorder="1" applyAlignment="1">
      <alignment horizontal="right" vertical="center"/>
    </xf>
    <xf numFmtId="176" fontId="3" fillId="7" borderId="3" xfId="0" applyNumberFormat="1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right" vertical="center"/>
    </xf>
    <xf numFmtId="176" fontId="2" fillId="0" borderId="9" xfId="0" applyNumberFormat="1" applyFont="1" applyBorder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3" fillId="10" borderId="3" xfId="0" applyNumberFormat="1" applyFont="1" applyFill="1" applyBorder="1" applyAlignment="1">
      <alignment horizontal="center" vertical="center"/>
    </xf>
    <xf numFmtId="176" fontId="21" fillId="0" borderId="36" xfId="0" applyNumberFormat="1" applyFont="1" applyBorder="1" applyAlignment="1">
      <alignment horizontal="center" vertical="center"/>
    </xf>
    <xf numFmtId="176" fontId="21" fillId="0" borderId="4" xfId="0" applyNumberFormat="1" applyFont="1" applyBorder="1" applyAlignment="1">
      <alignment horizontal="center" vertical="center"/>
    </xf>
    <xf numFmtId="0" fontId="8" fillId="5" borderId="52" xfId="0" applyFont="1" applyFill="1" applyBorder="1" applyAlignment="1">
      <alignment vertical="center" wrapText="1"/>
    </xf>
    <xf numFmtId="0" fontId="8" fillId="5" borderId="53" xfId="0" applyFont="1" applyFill="1" applyBorder="1" applyAlignment="1">
      <alignment vertical="center" wrapText="1"/>
    </xf>
    <xf numFmtId="0" fontId="8" fillId="5" borderId="54" xfId="0" applyFont="1" applyFill="1" applyBorder="1" applyAlignment="1">
      <alignment vertical="center" wrapText="1"/>
    </xf>
    <xf numFmtId="0" fontId="8" fillId="5" borderId="34" xfId="0" applyFont="1" applyFill="1" applyBorder="1" applyAlignment="1">
      <alignment vertical="center" wrapText="1"/>
    </xf>
    <xf numFmtId="176" fontId="3" fillId="0" borderId="17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3" fillId="9" borderId="1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" fillId="0" borderId="61" xfId="0" applyNumberFormat="1" applyFont="1" applyBorder="1" applyAlignment="1">
      <alignment horizontal="center" vertical="center"/>
    </xf>
    <xf numFmtId="176" fontId="2" fillId="0" borderId="62" xfId="0" applyNumberFormat="1" applyFont="1" applyBorder="1" applyAlignment="1">
      <alignment horizontal="center" vertical="center"/>
    </xf>
    <xf numFmtId="176" fontId="2" fillId="0" borderId="63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right" vertical="center" wrapText="1"/>
    </xf>
    <xf numFmtId="0" fontId="8" fillId="5" borderId="49" xfId="0" applyFont="1" applyFill="1" applyBorder="1" applyAlignment="1">
      <alignment horizontal="center" vertical="center" wrapText="1"/>
    </xf>
    <xf numFmtId="0" fontId="8" fillId="5" borderId="50" xfId="0" applyFont="1" applyFill="1" applyBorder="1" applyAlignment="1">
      <alignment horizontal="center" vertical="center" wrapText="1"/>
    </xf>
    <xf numFmtId="0" fontId="8" fillId="5" borderId="51" xfId="0" applyFont="1" applyFill="1" applyBorder="1" applyAlignment="1">
      <alignment horizontal="center" vertical="center" wrapText="1"/>
    </xf>
    <xf numFmtId="0" fontId="8" fillId="6" borderId="52" xfId="0" applyFont="1" applyFill="1" applyBorder="1" applyAlignment="1">
      <alignment horizontal="center" vertical="center" wrapText="1"/>
    </xf>
    <xf numFmtId="0" fontId="8" fillId="6" borderId="53" xfId="0" applyFont="1" applyFill="1" applyBorder="1" applyAlignment="1">
      <alignment horizontal="center" vertical="center" wrapText="1"/>
    </xf>
    <xf numFmtId="0" fontId="8" fillId="6" borderId="55" xfId="0" applyFont="1" applyFill="1" applyBorder="1" applyAlignment="1">
      <alignment horizontal="center" vertical="center" wrapText="1"/>
    </xf>
    <xf numFmtId="0" fontId="8" fillId="6" borderId="54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center" wrapText="1"/>
    </xf>
    <xf numFmtId="0" fontId="8" fillId="6" borderId="56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5" borderId="64" xfId="0" applyFont="1" applyFill="1" applyBorder="1" applyAlignment="1">
      <alignment horizontal="center" vertical="center" wrapText="1"/>
    </xf>
    <xf numFmtId="0" fontId="8" fillId="5" borderId="65" xfId="0" applyFont="1" applyFill="1" applyBorder="1" applyAlignment="1">
      <alignment horizontal="center" vertical="center" wrapText="1"/>
    </xf>
    <xf numFmtId="41" fontId="12" fillId="8" borderId="4" xfId="1" applyFont="1" applyFill="1" applyBorder="1" applyAlignment="1">
      <alignment horizontal="center" vertical="center"/>
    </xf>
    <xf numFmtId="41" fontId="12" fillId="8" borderId="5" xfId="1" applyFont="1" applyFill="1" applyBorder="1" applyAlignment="1">
      <alignment horizontal="center" vertical="center"/>
    </xf>
    <xf numFmtId="41" fontId="12" fillId="8" borderId="8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12" fillId="0" borderId="17" xfId="1" applyFont="1" applyBorder="1" applyAlignment="1">
      <alignment horizontal="center" vertical="center"/>
    </xf>
    <xf numFmtId="41" fontId="12" fillId="0" borderId="0" xfId="1" applyFont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12" fillId="8" borderId="9" xfId="1" applyFont="1" applyFill="1" applyBorder="1" applyAlignment="1">
      <alignment horizontal="center" vertical="center"/>
    </xf>
    <xf numFmtId="41" fontId="12" fillId="8" borderId="6" xfId="1" applyFont="1" applyFill="1" applyBorder="1" applyAlignment="1">
      <alignment horizontal="center" vertical="center"/>
    </xf>
    <xf numFmtId="41" fontId="15" fillId="0" borderId="9" xfId="1" applyFont="1" applyFill="1" applyBorder="1" applyAlignment="1">
      <alignment horizontal="right" vertical="center"/>
    </xf>
    <xf numFmtId="41" fontId="15" fillId="0" borderId="6" xfId="1" applyFont="1" applyFill="1" applyBorder="1" applyAlignment="1">
      <alignment horizontal="right" vertical="center"/>
    </xf>
    <xf numFmtId="41" fontId="15" fillId="0" borderId="0" xfId="1" applyFont="1" applyAlignment="1">
      <alignment horizontal="center" vertical="center"/>
    </xf>
    <xf numFmtId="41" fontId="12" fillId="8" borderId="10" xfId="1" applyFont="1" applyFill="1" applyBorder="1" applyAlignment="1">
      <alignment horizontal="center" vertical="center"/>
    </xf>
    <xf numFmtId="41" fontId="20" fillId="0" borderId="0" xfId="1" applyFont="1" applyAlignment="1">
      <alignment horizontal="center" vertical="center"/>
    </xf>
    <xf numFmtId="0" fontId="8" fillId="4" borderId="44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8" fillId="5" borderId="47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center" vertical="center" wrapText="1"/>
    </xf>
    <xf numFmtId="0" fontId="13" fillId="4" borderId="59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horizontal="justify" vertical="center" wrapText="1"/>
    </xf>
    <xf numFmtId="0" fontId="14" fillId="4" borderId="32" xfId="0" applyFont="1" applyFill="1" applyBorder="1" applyAlignment="1">
      <alignment horizontal="justify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66</xdr:row>
      <xdr:rowOff>0</xdr:rowOff>
    </xdr:from>
    <xdr:to>
      <xdr:col>7</xdr:col>
      <xdr:colOff>304800</xdr:colOff>
      <xdr:row>67</xdr:row>
      <xdr:rowOff>95250</xdr:rowOff>
    </xdr:to>
    <xdr:sp macro="" textlink="">
      <xdr:nvSpPr>
        <xdr:cNvPr id="1025" name="AutoShape 1" descr="image.png 표시 중">
          <a:extLst>
            <a:ext uri="{FF2B5EF4-FFF2-40B4-BE49-F238E27FC236}">
              <a16:creationId xmlns:a16="http://schemas.microsoft.com/office/drawing/2014/main" id="{CF0670D7-5352-46CD-9240-3D7F1D3AC968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12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81243</xdr:colOff>
      <xdr:row>25</xdr:row>
      <xdr:rowOff>144556</xdr:rowOff>
    </xdr:from>
    <xdr:to>
      <xdr:col>17</xdr:col>
      <xdr:colOff>2256080</xdr:colOff>
      <xdr:row>33</xdr:row>
      <xdr:rowOff>135781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A59FA3-D622-489E-B197-A5A861B6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70068" y="5145181"/>
          <a:ext cx="6270587" cy="16676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7</xdr:col>
      <xdr:colOff>2817897</xdr:colOff>
      <xdr:row>197</xdr:row>
      <xdr:rowOff>201706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C262835-FC3F-49DE-9172-FC32F7CF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1471" y="37158706"/>
          <a:ext cx="7143367" cy="2543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92CF-238C-4328-8AAC-48F95203C2C1}">
  <dimension ref="A1:Z255"/>
  <sheetViews>
    <sheetView tabSelected="1" topLeftCell="A151" zoomScaleNormal="100" workbookViewId="0">
      <selection activeCell="E134" sqref="E134"/>
    </sheetView>
  </sheetViews>
  <sheetFormatPr defaultColWidth="9" defaultRowHeight="16.5"/>
  <cols>
    <col min="1" max="1" width="6.875" style="93" customWidth="1"/>
    <col min="2" max="2" width="24.625" style="93" customWidth="1"/>
    <col min="3" max="3" width="55.25" style="93" customWidth="1"/>
    <col min="4" max="4" width="12.875" style="93" customWidth="1"/>
    <col min="5" max="5" width="14.375" style="93" bestFit="1" customWidth="1"/>
    <col min="6" max="6" width="13.875" style="93" customWidth="1"/>
    <col min="7" max="7" width="15.625" style="93" bestFit="1" customWidth="1"/>
    <col min="8" max="8" width="37.875" style="93" customWidth="1"/>
    <col min="9" max="9" width="10.125" style="20" customWidth="1"/>
    <col min="10" max="10" width="6.875" style="93" customWidth="1"/>
    <col min="11" max="11" width="47" style="93" bestFit="1" customWidth="1"/>
    <col min="12" max="12" width="46.375" style="93" customWidth="1"/>
    <col min="13" max="13" width="12.875" style="93" customWidth="1"/>
    <col min="14" max="14" width="14.375" style="93" bestFit="1" customWidth="1"/>
    <col min="15" max="15" width="13.875" style="93" customWidth="1"/>
    <col min="16" max="16" width="15.625" style="93" bestFit="1" customWidth="1"/>
    <col min="17" max="17" width="53.75" style="93" customWidth="1"/>
    <col min="18" max="18" width="31.25" style="93" customWidth="1"/>
    <col min="19" max="19" width="19.5" style="93" customWidth="1"/>
    <col min="20" max="20" width="11.125" style="93" customWidth="1"/>
    <col min="21" max="21" width="24.125" style="93" customWidth="1"/>
    <col min="22" max="22" width="13.375" style="93" customWidth="1"/>
    <col min="23" max="16384" width="9" style="93"/>
  </cols>
  <sheetData>
    <row r="1" spans="1:21" s="92" customFormat="1" ht="41.25" customHeight="1">
      <c r="A1" s="174" t="s">
        <v>305</v>
      </c>
      <c r="B1" s="174"/>
      <c r="C1" s="174"/>
      <c r="D1" s="174"/>
      <c r="E1" s="174"/>
      <c r="F1" s="174"/>
      <c r="G1" s="174"/>
      <c r="H1" s="174"/>
      <c r="I1" s="19"/>
      <c r="J1" s="174" t="s">
        <v>318</v>
      </c>
      <c r="K1" s="174"/>
      <c r="L1" s="174"/>
      <c r="M1" s="174"/>
      <c r="N1" s="174"/>
      <c r="O1" s="174"/>
      <c r="P1" s="174"/>
      <c r="Q1" s="174"/>
    </row>
    <row r="2" spans="1:21" ht="17.25" thickBot="1">
      <c r="B2" s="93" t="s">
        <v>0</v>
      </c>
      <c r="C2" s="93">
        <v>3100000000</v>
      </c>
    </row>
    <row r="3" spans="1:21" ht="17.25" thickBot="1">
      <c r="A3" s="93">
        <v>1</v>
      </c>
      <c r="B3" s="93" t="s">
        <v>1</v>
      </c>
      <c r="C3" s="93">
        <f>C2*0.95</f>
        <v>2945000000</v>
      </c>
      <c r="F3" s="9" t="s">
        <v>2</v>
      </c>
      <c r="G3" s="10">
        <f>SUM(G5,G19,G57,G80,G94)</f>
        <v>2526982800</v>
      </c>
      <c r="H3" s="93">
        <f>C3-G3</f>
        <v>418017200</v>
      </c>
      <c r="I3" s="21"/>
      <c r="J3" s="93">
        <v>1</v>
      </c>
      <c r="K3" s="93" t="s">
        <v>1</v>
      </c>
      <c r="L3" s="94"/>
      <c r="O3" s="9" t="s">
        <v>2</v>
      </c>
      <c r="P3" s="10">
        <f>SUM(P5,P15,P21,P43,P49)</f>
        <v>50528180</v>
      </c>
      <c r="Q3" s="94"/>
      <c r="R3" s="94"/>
    </row>
    <row r="4" spans="1:21" ht="17.25" thickBot="1">
      <c r="Q4" s="94"/>
    </row>
    <row r="5" spans="1:21" ht="17.25" thickBot="1">
      <c r="A5" s="11" t="s">
        <v>3</v>
      </c>
      <c r="B5" s="11" t="s">
        <v>51</v>
      </c>
      <c r="C5" s="11"/>
      <c r="D5" s="11"/>
      <c r="E5" s="11"/>
      <c r="F5" s="11"/>
      <c r="G5" s="149">
        <f>SUM(G12,G17)</f>
        <v>245648600</v>
      </c>
      <c r="I5" s="21"/>
      <c r="J5" s="11" t="s">
        <v>3</v>
      </c>
      <c r="K5" s="11" t="s">
        <v>51</v>
      </c>
      <c r="L5" s="11"/>
      <c r="M5" s="11"/>
      <c r="N5" s="11"/>
      <c r="O5" s="11"/>
      <c r="P5" s="12">
        <f>P13</f>
        <v>30528180</v>
      </c>
      <c r="Q5" s="94"/>
      <c r="R5" s="94"/>
    </row>
    <row r="6" spans="1:21">
      <c r="B6" s="24" t="s">
        <v>4</v>
      </c>
      <c r="C6" s="120" t="s">
        <v>5</v>
      </c>
      <c r="D6" s="120" t="s">
        <v>6</v>
      </c>
      <c r="E6" s="120" t="s">
        <v>7</v>
      </c>
      <c r="F6" s="123" t="s">
        <v>8</v>
      </c>
      <c r="G6" s="125" t="s">
        <v>9</v>
      </c>
      <c r="K6" s="24" t="s">
        <v>4</v>
      </c>
      <c r="L6" s="24" t="s">
        <v>5</v>
      </c>
      <c r="M6" s="24" t="s">
        <v>6</v>
      </c>
      <c r="N6" s="24" t="s">
        <v>7</v>
      </c>
      <c r="O6" s="26" t="s">
        <v>8</v>
      </c>
      <c r="P6" s="121" t="s">
        <v>9</v>
      </c>
      <c r="S6" s="94"/>
      <c r="T6" s="79"/>
      <c r="U6" s="79"/>
    </row>
    <row r="7" spans="1:21" ht="16.5" customHeight="1">
      <c r="B7" s="172" t="s">
        <v>214</v>
      </c>
      <c r="C7" s="24" t="s">
        <v>118</v>
      </c>
      <c r="D7" s="26" t="s">
        <v>69</v>
      </c>
      <c r="E7" s="150">
        <v>2450884</v>
      </c>
      <c r="F7" s="25">
        <v>10</v>
      </c>
      <c r="G7" s="24">
        <f>(E7*F7)</f>
        <v>24508840</v>
      </c>
      <c r="H7" s="98" t="s">
        <v>307</v>
      </c>
      <c r="K7" s="159" t="s">
        <v>214</v>
      </c>
      <c r="L7" s="24" t="s">
        <v>118</v>
      </c>
      <c r="M7" s="24" t="s">
        <v>69</v>
      </c>
      <c r="N7" s="150">
        <v>2450884</v>
      </c>
      <c r="O7" s="26">
        <v>2</v>
      </c>
      <c r="P7" s="24">
        <f>N7*O7</f>
        <v>4901768</v>
      </c>
      <c r="Q7" s="100"/>
      <c r="R7" s="18"/>
      <c r="S7" s="94"/>
      <c r="T7" s="94"/>
      <c r="U7" s="94"/>
    </row>
    <row r="8" spans="1:21">
      <c r="B8" s="158"/>
      <c r="C8" s="24" t="s">
        <v>314</v>
      </c>
      <c r="D8" s="123" t="s">
        <v>69</v>
      </c>
      <c r="E8" s="151">
        <v>4668777</v>
      </c>
      <c r="F8" s="26">
        <v>10</v>
      </c>
      <c r="G8" s="24">
        <f>E8*F8</f>
        <v>46687770</v>
      </c>
      <c r="H8" s="98" t="s">
        <v>310</v>
      </c>
      <c r="K8" s="160"/>
      <c r="L8" s="24" t="s">
        <v>314</v>
      </c>
      <c r="M8" s="24" t="s">
        <v>69</v>
      </c>
      <c r="N8" s="151">
        <v>4668392</v>
      </c>
      <c r="O8" s="24">
        <v>2</v>
      </c>
      <c r="P8" s="24">
        <f t="shared" ref="P8:P10" si="0">N8*O8</f>
        <v>9336784</v>
      </c>
      <c r="Q8" s="100"/>
      <c r="R8" s="18"/>
      <c r="S8" s="94"/>
      <c r="T8" s="79"/>
      <c r="U8" s="79"/>
    </row>
    <row r="9" spans="1:21">
      <c r="B9" s="158"/>
      <c r="C9" s="24" t="s">
        <v>317</v>
      </c>
      <c r="D9" s="26" t="s">
        <v>219</v>
      </c>
      <c r="E9" s="151">
        <v>4668777</v>
      </c>
      <c r="F9" s="24">
        <v>10</v>
      </c>
      <c r="G9" s="24">
        <f t="shared" ref="G9:G10" si="1">E9*F9</f>
        <v>46687770</v>
      </c>
      <c r="H9" s="18" t="s">
        <v>311</v>
      </c>
      <c r="K9" s="160"/>
      <c r="L9" s="24" t="s">
        <v>317</v>
      </c>
      <c r="M9" s="24" t="s">
        <v>69</v>
      </c>
      <c r="N9" s="151">
        <v>4668392</v>
      </c>
      <c r="O9" s="24">
        <v>2</v>
      </c>
      <c r="P9" s="24">
        <f t="shared" si="0"/>
        <v>9336784</v>
      </c>
      <c r="Q9" s="100"/>
      <c r="R9" s="18"/>
      <c r="S9" s="94"/>
      <c r="T9" s="79"/>
      <c r="U9" s="79"/>
    </row>
    <row r="10" spans="1:21">
      <c r="B10" s="158"/>
      <c r="C10" s="24" t="s">
        <v>329</v>
      </c>
      <c r="D10" s="26" t="s">
        <v>69</v>
      </c>
      <c r="E10" s="151">
        <v>3476422</v>
      </c>
      <c r="F10" s="24">
        <v>10</v>
      </c>
      <c r="G10" s="24">
        <f t="shared" si="1"/>
        <v>34764220</v>
      </c>
      <c r="H10" s="18"/>
      <c r="K10" s="160"/>
      <c r="L10" s="24" t="s">
        <v>62</v>
      </c>
      <c r="M10" s="24" t="s">
        <v>69</v>
      </c>
      <c r="N10" s="151">
        <v>3476422</v>
      </c>
      <c r="O10" s="25">
        <v>2</v>
      </c>
      <c r="P10" s="24">
        <f t="shared" si="0"/>
        <v>6952844</v>
      </c>
      <c r="Q10" s="75"/>
      <c r="R10" s="18"/>
      <c r="S10" s="94"/>
      <c r="T10" s="79"/>
      <c r="U10" s="79"/>
    </row>
    <row r="11" spans="1:21">
      <c r="B11" s="161"/>
      <c r="C11" s="175" t="s">
        <v>10</v>
      </c>
      <c r="D11" s="176"/>
      <c r="E11" s="176"/>
      <c r="F11" s="177"/>
      <c r="G11" s="121">
        <f>SUM(G7:G10)</f>
        <v>152648600</v>
      </c>
      <c r="K11" s="161"/>
      <c r="L11" s="166" t="s">
        <v>10</v>
      </c>
      <c r="M11" s="167"/>
      <c r="N11" s="167"/>
      <c r="O11" s="168"/>
      <c r="P11" s="24">
        <f>SUM(P7:P10)</f>
        <v>30528180</v>
      </c>
    </row>
    <row r="12" spans="1:21">
      <c r="B12" s="166" t="s">
        <v>11</v>
      </c>
      <c r="C12" s="178"/>
      <c r="D12" s="178"/>
      <c r="E12" s="178"/>
      <c r="F12" s="179"/>
      <c r="G12" s="121">
        <f>SUM(G11)</f>
        <v>152648600</v>
      </c>
      <c r="K12" s="124"/>
      <c r="L12" s="25"/>
      <c r="M12" s="25"/>
      <c r="N12" s="25"/>
      <c r="O12" s="95"/>
      <c r="P12" s="24"/>
    </row>
    <row r="13" spans="1:21">
      <c r="H13" s="93" t="s">
        <v>12</v>
      </c>
      <c r="K13" s="162" t="s">
        <v>11</v>
      </c>
      <c r="L13" s="163"/>
      <c r="M13" s="163"/>
      <c r="N13" s="163"/>
      <c r="O13" s="164"/>
      <c r="P13" s="23">
        <f>SUM(P11)</f>
        <v>30528180</v>
      </c>
    </row>
    <row r="14" spans="1:21" ht="17.25" thickBot="1">
      <c r="B14" s="93" t="s">
        <v>13</v>
      </c>
      <c r="C14" s="93" t="s">
        <v>14</v>
      </c>
      <c r="Q14" s="93" t="s">
        <v>12</v>
      </c>
      <c r="S14" s="3"/>
    </row>
    <row r="15" spans="1:21" ht="17.25" thickBot="1">
      <c r="B15" s="24" t="s">
        <v>4</v>
      </c>
      <c r="C15" s="171" t="s">
        <v>15</v>
      </c>
      <c r="D15" s="171"/>
      <c r="E15" s="171"/>
      <c r="F15" s="171"/>
      <c r="G15" s="24" t="s">
        <v>9</v>
      </c>
      <c r="J15" s="11" t="s">
        <v>16</v>
      </c>
      <c r="K15" s="11" t="s">
        <v>17</v>
      </c>
      <c r="L15" s="11">
        <f>COUNT(#REF!,#REF!,#REF!)</f>
        <v>0</v>
      </c>
      <c r="M15" s="11"/>
      <c r="N15" s="11"/>
      <c r="O15" s="11"/>
      <c r="P15" s="12">
        <v>0</v>
      </c>
      <c r="Q15" s="94"/>
      <c r="R15" s="94"/>
    </row>
    <row r="16" spans="1:21">
      <c r="B16" s="24" t="s">
        <v>210</v>
      </c>
      <c r="C16" s="4"/>
      <c r="D16" s="4"/>
      <c r="E16" s="4"/>
      <c r="F16" s="4"/>
      <c r="G16" s="24">
        <f>C2*0.03</f>
        <v>93000000</v>
      </c>
      <c r="K16" s="24"/>
      <c r="L16" s="24"/>
      <c r="M16" s="24"/>
      <c r="N16" s="24"/>
      <c r="O16" s="24"/>
      <c r="P16" s="121"/>
    </row>
    <row r="17" spans="1:19">
      <c r="B17" s="166" t="s">
        <v>11</v>
      </c>
      <c r="C17" s="167"/>
      <c r="D17" s="167"/>
      <c r="E17" s="167"/>
      <c r="F17" s="168"/>
      <c r="G17" s="24">
        <f>G16</f>
        <v>93000000</v>
      </c>
      <c r="K17" s="4"/>
      <c r="L17" s="24"/>
      <c r="M17" s="24"/>
      <c r="N17" s="24"/>
      <c r="O17" s="24"/>
      <c r="P17" s="24"/>
    </row>
    <row r="18" spans="1:19" ht="17.25" thickBot="1">
      <c r="K18" s="4"/>
      <c r="L18" s="4"/>
      <c r="M18" s="4"/>
      <c r="N18" s="4"/>
      <c r="O18" s="4"/>
      <c r="P18" s="24"/>
      <c r="S18" s="94"/>
    </row>
    <row r="19" spans="1:19" ht="17.25" thickBot="1">
      <c r="A19" s="11" t="s">
        <v>16</v>
      </c>
      <c r="B19" s="11" t="s">
        <v>17</v>
      </c>
      <c r="C19" s="11">
        <f>COUNT(G21:G44,#REF!,G46:G53)</f>
        <v>32</v>
      </c>
      <c r="D19" s="11"/>
      <c r="E19" s="11"/>
      <c r="F19" s="11"/>
      <c r="G19" s="149">
        <f>SUM(G55)</f>
        <v>186600000</v>
      </c>
      <c r="K19" s="4"/>
      <c r="L19" s="4"/>
      <c r="M19" s="4"/>
      <c r="N19" s="4"/>
      <c r="O19" s="4"/>
      <c r="P19" s="24"/>
      <c r="S19" s="94"/>
    </row>
    <row r="20" spans="1:19" ht="17.25" thickBot="1">
      <c r="B20" s="24" t="s">
        <v>4</v>
      </c>
      <c r="C20" s="24" t="s">
        <v>5</v>
      </c>
      <c r="D20" s="24" t="s">
        <v>6</v>
      </c>
      <c r="E20" s="24" t="s">
        <v>7</v>
      </c>
      <c r="F20" s="26" t="s">
        <v>8</v>
      </c>
      <c r="G20" s="121" t="s">
        <v>9</v>
      </c>
      <c r="I20" s="20" t="s">
        <v>12</v>
      </c>
      <c r="S20" s="94"/>
    </row>
    <row r="21" spans="1:19" ht="17.25" thickBot="1">
      <c r="B21" s="159" t="s">
        <v>18</v>
      </c>
      <c r="C21" s="24" t="s">
        <v>58</v>
      </c>
      <c r="D21" s="24" t="s">
        <v>182</v>
      </c>
      <c r="E21" s="24">
        <v>900000</v>
      </c>
      <c r="F21" s="26">
        <v>8</v>
      </c>
      <c r="G21" s="24">
        <f>E21*F21</f>
        <v>7200000</v>
      </c>
      <c r="H21" s="165" t="s">
        <v>259</v>
      </c>
      <c r="J21" s="11" t="s">
        <v>20</v>
      </c>
      <c r="K21" s="11" t="s">
        <v>21</v>
      </c>
      <c r="L21" s="11"/>
      <c r="M21" s="11"/>
      <c r="N21" s="11"/>
      <c r="O21" s="11"/>
      <c r="P21" s="12">
        <f>P26</f>
        <v>0</v>
      </c>
      <c r="Q21" s="94"/>
      <c r="R21" s="94"/>
      <c r="S21" s="94"/>
    </row>
    <row r="22" spans="1:19">
      <c r="B22" s="160"/>
      <c r="C22" s="24" t="s">
        <v>59</v>
      </c>
      <c r="D22" s="24" t="s">
        <v>183</v>
      </c>
      <c r="E22" s="24">
        <v>900000</v>
      </c>
      <c r="F22" s="26">
        <v>6</v>
      </c>
      <c r="G22" s="24">
        <f t="shared" ref="G22:G43" si="2">E22*F22</f>
        <v>5400000</v>
      </c>
      <c r="H22" s="158"/>
      <c r="K22" s="93" t="s">
        <v>22</v>
      </c>
      <c r="S22" s="94"/>
    </row>
    <row r="23" spans="1:19">
      <c r="B23" s="160"/>
      <c r="C23" s="24" t="s">
        <v>60</v>
      </c>
      <c r="D23" s="24" t="s">
        <v>183</v>
      </c>
      <c r="E23" s="24">
        <v>900000</v>
      </c>
      <c r="F23" s="26">
        <v>12</v>
      </c>
      <c r="G23" s="24">
        <f t="shared" si="2"/>
        <v>10800000</v>
      </c>
      <c r="K23" s="24" t="s">
        <v>23</v>
      </c>
      <c r="L23" s="24" t="s">
        <v>24</v>
      </c>
      <c r="M23" s="24" t="s">
        <v>25</v>
      </c>
      <c r="N23" s="24" t="s">
        <v>26</v>
      </c>
      <c r="O23" s="1" t="s">
        <v>27</v>
      </c>
      <c r="P23" s="24" t="s">
        <v>28</v>
      </c>
    </row>
    <row r="24" spans="1:19">
      <c r="B24" s="160"/>
      <c r="C24" s="24" t="s">
        <v>295</v>
      </c>
      <c r="D24" s="24" t="s">
        <v>266</v>
      </c>
      <c r="E24" s="24">
        <v>900000</v>
      </c>
      <c r="F24" s="26">
        <v>0</v>
      </c>
      <c r="G24" s="24">
        <f t="shared" si="2"/>
        <v>0</v>
      </c>
      <c r="H24" s="158" t="s">
        <v>309</v>
      </c>
      <c r="K24" s="26" t="s">
        <v>97</v>
      </c>
      <c r="L24" s="24" t="s">
        <v>103</v>
      </c>
      <c r="M24" s="24"/>
      <c r="N24" s="24">
        <v>0</v>
      </c>
      <c r="O24" s="24">
        <v>99990000</v>
      </c>
      <c r="P24" s="93">
        <f>N24*O24</f>
        <v>0</v>
      </c>
      <c r="Q24" s="93" t="s">
        <v>200</v>
      </c>
      <c r="R24" s="94">
        <f>99990000*1-P24</f>
        <v>99990000</v>
      </c>
    </row>
    <row r="25" spans="1:19">
      <c r="B25" s="160"/>
      <c r="C25" s="24" t="s">
        <v>296</v>
      </c>
      <c r="D25" s="24" t="s">
        <v>266</v>
      </c>
      <c r="E25" s="24">
        <v>900000</v>
      </c>
      <c r="F25" s="26">
        <v>0</v>
      </c>
      <c r="G25" s="24">
        <f t="shared" si="2"/>
        <v>0</v>
      </c>
      <c r="H25" s="158"/>
      <c r="K25" s="26"/>
      <c r="L25" s="25" t="s">
        <v>239</v>
      </c>
      <c r="M25" s="25"/>
      <c r="N25" s="25">
        <v>0</v>
      </c>
      <c r="O25" s="95">
        <v>62136800</v>
      </c>
      <c r="P25" s="93">
        <f>N25*O25</f>
        <v>0</v>
      </c>
      <c r="Q25" s="93" t="s">
        <v>240</v>
      </c>
      <c r="R25" s="94"/>
    </row>
    <row r="26" spans="1:19">
      <c r="B26" s="160"/>
      <c r="C26" s="24" t="s">
        <v>331</v>
      </c>
      <c r="D26" s="24" t="s">
        <v>184</v>
      </c>
      <c r="E26" s="24">
        <v>900000</v>
      </c>
      <c r="F26" s="26">
        <v>12</v>
      </c>
      <c r="G26" s="24">
        <f t="shared" si="2"/>
        <v>10800000</v>
      </c>
      <c r="K26" s="162" t="s">
        <v>11</v>
      </c>
      <c r="L26" s="163"/>
      <c r="M26" s="163"/>
      <c r="N26" s="163"/>
      <c r="O26" s="164"/>
      <c r="P26" s="23">
        <f>SUM(P24:P25)</f>
        <v>0</v>
      </c>
    </row>
    <row r="27" spans="1:19">
      <c r="B27" s="160"/>
      <c r="C27" s="24" t="s">
        <v>332</v>
      </c>
      <c r="D27" s="24" t="s">
        <v>184</v>
      </c>
      <c r="E27" s="24">
        <v>900000</v>
      </c>
      <c r="F27" s="26">
        <v>12</v>
      </c>
      <c r="G27" s="24">
        <f t="shared" si="2"/>
        <v>10800000</v>
      </c>
    </row>
    <row r="28" spans="1:19">
      <c r="B28" s="160"/>
      <c r="C28" s="24" t="s">
        <v>267</v>
      </c>
      <c r="D28" s="24" t="s">
        <v>61</v>
      </c>
      <c r="E28" s="24">
        <v>1300000</v>
      </c>
      <c r="F28" s="26">
        <v>0</v>
      </c>
      <c r="G28" s="24">
        <f t="shared" si="2"/>
        <v>0</v>
      </c>
      <c r="H28" s="165" t="s">
        <v>284</v>
      </c>
      <c r="K28" s="93" t="s">
        <v>29</v>
      </c>
    </row>
    <row r="29" spans="1:19">
      <c r="B29" s="160"/>
      <c r="C29" s="24" t="s">
        <v>245</v>
      </c>
      <c r="D29" s="24" t="s">
        <v>61</v>
      </c>
      <c r="E29" s="24">
        <v>1300000</v>
      </c>
      <c r="F29" s="26">
        <v>0</v>
      </c>
      <c r="G29" s="24">
        <f t="shared" ref="G29:G33" si="3">E29*F29</f>
        <v>0</v>
      </c>
      <c r="H29" s="158"/>
      <c r="K29" s="24" t="s">
        <v>4</v>
      </c>
      <c r="L29" s="24" t="s">
        <v>23</v>
      </c>
      <c r="M29" s="24" t="s">
        <v>30</v>
      </c>
      <c r="N29" s="24" t="s">
        <v>26</v>
      </c>
      <c r="O29" s="1" t="s">
        <v>27</v>
      </c>
      <c r="P29" s="24" t="s">
        <v>28</v>
      </c>
    </row>
    <row r="30" spans="1:19">
      <c r="B30" s="160"/>
      <c r="C30" s="24" t="s">
        <v>243</v>
      </c>
      <c r="D30" s="24" t="s">
        <v>186</v>
      </c>
      <c r="E30" s="24">
        <v>900000</v>
      </c>
      <c r="F30" s="25">
        <v>0</v>
      </c>
      <c r="G30" s="24">
        <f t="shared" si="3"/>
        <v>0</v>
      </c>
      <c r="H30" s="158" t="s">
        <v>308</v>
      </c>
      <c r="K30" s="4"/>
      <c r="L30" s="95"/>
      <c r="M30" s="24"/>
      <c r="N30" s="24"/>
      <c r="O30" s="2"/>
      <c r="P30" s="24"/>
    </row>
    <row r="31" spans="1:19">
      <c r="B31" s="160"/>
      <c r="C31" s="24" t="s">
        <v>244</v>
      </c>
      <c r="D31" s="24" t="s">
        <v>186</v>
      </c>
      <c r="E31" s="24">
        <v>900000</v>
      </c>
      <c r="F31" s="25">
        <v>0</v>
      </c>
      <c r="G31" s="24">
        <f t="shared" si="3"/>
        <v>0</v>
      </c>
      <c r="H31" s="158"/>
      <c r="K31" s="4"/>
      <c r="L31" s="95"/>
      <c r="M31" s="24"/>
      <c r="N31" s="24"/>
      <c r="O31" s="2"/>
      <c r="P31" s="24">
        <f t="shared" ref="P31:P33" si="4">O31*N31</f>
        <v>0</v>
      </c>
    </row>
    <row r="32" spans="1:19">
      <c r="B32" s="160"/>
      <c r="C32" s="24" t="s">
        <v>62</v>
      </c>
      <c r="D32" s="24" t="s">
        <v>288</v>
      </c>
      <c r="E32" s="24">
        <v>900000</v>
      </c>
      <c r="F32" s="24">
        <v>0</v>
      </c>
      <c r="G32" s="24">
        <f t="shared" si="3"/>
        <v>0</v>
      </c>
      <c r="H32" s="158" t="s">
        <v>218</v>
      </c>
      <c r="K32" s="4"/>
      <c r="L32" s="95"/>
      <c r="M32" s="24"/>
      <c r="N32" s="24"/>
      <c r="O32" s="2"/>
      <c r="P32" s="24">
        <f t="shared" si="4"/>
        <v>0</v>
      </c>
    </row>
    <row r="33" spans="2:18">
      <c r="B33" s="160"/>
      <c r="C33" s="24" t="s">
        <v>62</v>
      </c>
      <c r="D33" s="24" t="s">
        <v>288</v>
      </c>
      <c r="E33" s="24">
        <v>900000</v>
      </c>
      <c r="F33" s="24">
        <v>0</v>
      </c>
      <c r="G33" s="24">
        <f t="shared" si="3"/>
        <v>0</v>
      </c>
      <c r="H33" s="158"/>
      <c r="K33" s="4"/>
      <c r="L33" s="95"/>
      <c r="M33" s="24"/>
      <c r="N33" s="24"/>
      <c r="O33" s="2"/>
      <c r="P33" s="24">
        <f t="shared" si="4"/>
        <v>0</v>
      </c>
    </row>
    <row r="34" spans="2:18">
      <c r="B34" s="160"/>
      <c r="C34" s="24" t="s">
        <v>62</v>
      </c>
      <c r="D34" s="24" t="s">
        <v>313</v>
      </c>
      <c r="E34" s="24">
        <v>1200000</v>
      </c>
      <c r="F34" s="26">
        <v>6</v>
      </c>
      <c r="G34" s="24">
        <f>E34*F34</f>
        <v>7200000</v>
      </c>
      <c r="H34" s="158"/>
      <c r="K34" s="162" t="s">
        <v>11</v>
      </c>
      <c r="L34" s="163"/>
      <c r="M34" s="163"/>
      <c r="N34" s="163"/>
      <c r="O34" s="164"/>
      <c r="P34" s="121"/>
    </row>
    <row r="35" spans="2:18">
      <c r="B35" s="160"/>
      <c r="C35" s="24" t="s">
        <v>62</v>
      </c>
      <c r="D35" s="24" t="s">
        <v>313</v>
      </c>
      <c r="E35" s="24">
        <v>1200000</v>
      </c>
      <c r="F35" s="26">
        <v>6</v>
      </c>
      <c r="G35" s="24">
        <f t="shared" si="2"/>
        <v>7200000</v>
      </c>
      <c r="H35" s="158"/>
      <c r="K35" s="94"/>
      <c r="L35" s="94"/>
      <c r="M35" s="94"/>
      <c r="N35" s="94"/>
      <c r="O35" s="94"/>
    </row>
    <row r="36" spans="2:18">
      <c r="B36" s="160"/>
      <c r="C36" s="24" t="s">
        <v>62</v>
      </c>
      <c r="D36" s="24" t="s">
        <v>313</v>
      </c>
      <c r="E36" s="24">
        <v>1200000</v>
      </c>
      <c r="F36" s="26">
        <v>6</v>
      </c>
      <c r="G36" s="24">
        <f t="shared" si="2"/>
        <v>7200000</v>
      </c>
      <c r="H36" s="158"/>
      <c r="K36" s="94"/>
      <c r="L36" s="94"/>
      <c r="M36" s="94"/>
      <c r="N36" s="94"/>
      <c r="O36" s="94"/>
    </row>
    <row r="37" spans="2:18">
      <c r="B37" s="160"/>
      <c r="C37" s="24" t="s">
        <v>62</v>
      </c>
      <c r="D37" s="24" t="s">
        <v>185</v>
      </c>
      <c r="E37" s="24">
        <v>900000</v>
      </c>
      <c r="F37" s="26">
        <v>8</v>
      </c>
      <c r="G37" s="24">
        <f t="shared" si="2"/>
        <v>7200000</v>
      </c>
      <c r="H37" s="158"/>
    </row>
    <row r="38" spans="2:18">
      <c r="B38" s="160"/>
      <c r="C38" s="24" t="s">
        <v>62</v>
      </c>
      <c r="D38" s="24" t="s">
        <v>185</v>
      </c>
      <c r="E38" s="24">
        <v>900000</v>
      </c>
      <c r="F38" s="26">
        <v>8</v>
      </c>
      <c r="G38" s="24">
        <f t="shared" si="2"/>
        <v>7200000</v>
      </c>
      <c r="H38" s="158"/>
      <c r="K38" s="93" t="s">
        <v>31</v>
      </c>
    </row>
    <row r="39" spans="2:18">
      <c r="B39" s="160"/>
      <c r="C39" s="24" t="s">
        <v>62</v>
      </c>
      <c r="D39" s="24" t="s">
        <v>185</v>
      </c>
      <c r="E39" s="24">
        <v>900000</v>
      </c>
      <c r="F39" s="26">
        <v>8</v>
      </c>
      <c r="G39" s="24">
        <f t="shared" si="2"/>
        <v>7200000</v>
      </c>
      <c r="H39" s="158"/>
      <c r="K39" s="120" t="s">
        <v>4</v>
      </c>
      <c r="L39" s="123" t="s">
        <v>15</v>
      </c>
      <c r="M39" s="13"/>
      <c r="N39" s="13"/>
      <c r="O39" s="14"/>
      <c r="P39" s="120" t="s">
        <v>9</v>
      </c>
    </row>
    <row r="40" spans="2:18">
      <c r="B40" s="160"/>
      <c r="C40" s="24" t="s">
        <v>62</v>
      </c>
      <c r="D40" s="24" t="s">
        <v>185</v>
      </c>
      <c r="E40" s="24">
        <v>900000</v>
      </c>
      <c r="F40" s="26">
        <v>8</v>
      </c>
      <c r="G40" s="24">
        <f t="shared" si="2"/>
        <v>7200000</v>
      </c>
      <c r="H40" s="158"/>
      <c r="K40" s="24"/>
      <c r="L40" s="24"/>
      <c r="M40" s="24"/>
      <c r="N40" s="4"/>
      <c r="O40" s="4"/>
      <c r="P40" s="24">
        <f>O40*N40</f>
        <v>0</v>
      </c>
    </row>
    <row r="41" spans="2:18">
      <c r="B41" s="160"/>
      <c r="C41" s="24" t="s">
        <v>62</v>
      </c>
      <c r="D41" s="24" t="s">
        <v>185</v>
      </c>
      <c r="E41" s="24">
        <v>900000</v>
      </c>
      <c r="F41" s="26">
        <v>8</v>
      </c>
      <c r="G41" s="24">
        <f t="shared" si="2"/>
        <v>7200000</v>
      </c>
      <c r="H41" s="158"/>
      <c r="K41" s="162" t="s">
        <v>11</v>
      </c>
      <c r="L41" s="163"/>
      <c r="M41" s="163"/>
      <c r="N41" s="163"/>
      <c r="O41" s="164"/>
      <c r="P41" s="121">
        <f>SUM(P40:P40)</f>
        <v>0</v>
      </c>
    </row>
    <row r="42" spans="2:18" ht="17.25" thickBot="1">
      <c r="B42" s="160"/>
      <c r="C42" s="24" t="s">
        <v>62</v>
      </c>
      <c r="D42" s="24" t="s">
        <v>185</v>
      </c>
      <c r="E42" s="24">
        <v>900000</v>
      </c>
      <c r="F42" s="26">
        <v>8</v>
      </c>
      <c r="G42" s="24">
        <f t="shared" si="2"/>
        <v>7200000</v>
      </c>
      <c r="H42" s="158"/>
    </row>
    <row r="43" spans="2:18" ht="17.25" thickBot="1">
      <c r="B43" s="160"/>
      <c r="C43" s="24" t="s">
        <v>62</v>
      </c>
      <c r="D43" s="24" t="s">
        <v>185</v>
      </c>
      <c r="E43" s="24">
        <v>900000</v>
      </c>
      <c r="F43" s="26">
        <v>8</v>
      </c>
      <c r="G43" s="24">
        <f t="shared" si="2"/>
        <v>7200000</v>
      </c>
      <c r="H43" s="158"/>
      <c r="J43" s="11" t="s">
        <v>32</v>
      </c>
      <c r="K43" s="11" t="s">
        <v>33</v>
      </c>
      <c r="L43" s="11"/>
      <c r="M43" s="11"/>
      <c r="N43" s="11"/>
      <c r="O43" s="11"/>
      <c r="P43" s="12">
        <f>P47</f>
        <v>0</v>
      </c>
      <c r="Q43" s="94">
        <v>1144000</v>
      </c>
      <c r="R43" s="94">
        <f>Q43-P43</f>
        <v>1144000</v>
      </c>
    </row>
    <row r="44" spans="2:18">
      <c r="B44" s="160"/>
      <c r="C44" s="24" t="s">
        <v>62</v>
      </c>
      <c r="D44" s="24" t="s">
        <v>185</v>
      </c>
      <c r="E44" s="24">
        <v>900000</v>
      </c>
      <c r="F44" s="26">
        <v>8</v>
      </c>
      <c r="G44" s="24">
        <f t="shared" ref="G44" si="5">E44*F44</f>
        <v>7200000</v>
      </c>
      <c r="H44" s="158"/>
      <c r="K44" s="93" t="s">
        <v>34</v>
      </c>
      <c r="R44" s="94"/>
    </row>
    <row r="45" spans="2:18">
      <c r="B45" s="161"/>
      <c r="C45" s="166" t="s">
        <v>10</v>
      </c>
      <c r="D45" s="167"/>
      <c r="E45" s="167"/>
      <c r="F45" s="168"/>
      <c r="G45" s="24">
        <f>SUM(G21:G44)</f>
        <v>124200000</v>
      </c>
      <c r="K45" s="120" t="s">
        <v>23</v>
      </c>
      <c r="L45" s="120" t="s">
        <v>24</v>
      </c>
      <c r="M45" s="120" t="s">
        <v>25</v>
      </c>
      <c r="N45" s="120" t="s">
        <v>26</v>
      </c>
      <c r="O45" s="123" t="s">
        <v>35</v>
      </c>
      <c r="P45" s="120" t="s">
        <v>28</v>
      </c>
    </row>
    <row r="46" spans="2:18">
      <c r="B46" s="159" t="s">
        <v>19</v>
      </c>
      <c r="C46" s="24" t="s">
        <v>52</v>
      </c>
      <c r="D46" s="24" t="s">
        <v>63</v>
      </c>
      <c r="E46" s="24">
        <v>1300000</v>
      </c>
      <c r="F46" s="26">
        <v>12</v>
      </c>
      <c r="G46" s="24">
        <f t="shared" ref="G46:G53" si="6">E46*F46</f>
        <v>15600000</v>
      </c>
      <c r="H46" s="75"/>
      <c r="K46" s="24"/>
      <c r="L46" s="24"/>
      <c r="M46" s="120"/>
      <c r="N46" s="120"/>
      <c r="O46" s="123"/>
      <c r="P46" s="120">
        <f>N46*O46</f>
        <v>0</v>
      </c>
      <c r="Q46" s="75" t="s">
        <v>282</v>
      </c>
      <c r="R46" s="18"/>
    </row>
    <row r="47" spans="2:18">
      <c r="B47" s="160"/>
      <c r="C47" s="24" t="s">
        <v>55</v>
      </c>
      <c r="D47" s="24" t="s">
        <v>63</v>
      </c>
      <c r="E47" s="24">
        <v>1300000</v>
      </c>
      <c r="F47" s="26">
        <v>0</v>
      </c>
      <c r="G47" s="24">
        <f t="shared" si="6"/>
        <v>0</v>
      </c>
      <c r="H47" s="75"/>
      <c r="K47" s="162" t="s">
        <v>11</v>
      </c>
      <c r="L47" s="163"/>
      <c r="M47" s="163"/>
      <c r="N47" s="163"/>
      <c r="O47" s="164"/>
      <c r="P47" s="23">
        <f>SUM(P46:P46)</f>
        <v>0</v>
      </c>
    </row>
    <row r="48" spans="2:18" ht="17.25" thickBot="1">
      <c r="B48" s="160"/>
      <c r="C48" s="24" t="s">
        <v>56</v>
      </c>
      <c r="D48" s="24" t="s">
        <v>63</v>
      </c>
      <c r="E48" s="24">
        <v>1300000</v>
      </c>
      <c r="F48" s="26">
        <v>12</v>
      </c>
      <c r="G48" s="24">
        <f t="shared" si="6"/>
        <v>15600000</v>
      </c>
      <c r="H48" s="75"/>
      <c r="L48" s="3"/>
      <c r="M48" s="3"/>
      <c r="N48" s="3"/>
      <c r="O48" s="3"/>
    </row>
    <row r="49" spans="1:18" ht="17.25" thickBot="1">
      <c r="B49" s="160"/>
      <c r="C49" s="24" t="s">
        <v>57</v>
      </c>
      <c r="D49" s="24" t="s">
        <v>63</v>
      </c>
      <c r="E49" s="24">
        <v>1300000</v>
      </c>
      <c r="F49" s="26">
        <v>12</v>
      </c>
      <c r="G49" s="24">
        <f t="shared" si="6"/>
        <v>15600000</v>
      </c>
      <c r="H49" s="75"/>
      <c r="J49" s="11" t="s">
        <v>36</v>
      </c>
      <c r="K49" s="11" t="s">
        <v>37</v>
      </c>
      <c r="L49" s="11"/>
      <c r="M49" s="11"/>
      <c r="N49" s="11"/>
      <c r="O49" s="11"/>
      <c r="P49" s="12">
        <f>SUM(P54,P62,P68,P74,P81,P87,P103,P95)</f>
        <v>20000000</v>
      </c>
      <c r="Q49" s="94">
        <v>198119549</v>
      </c>
      <c r="R49" s="94">
        <f>Q49-P49</f>
        <v>178119549</v>
      </c>
    </row>
    <row r="50" spans="1:18">
      <c r="B50" s="160"/>
      <c r="C50" s="24" t="s">
        <v>54</v>
      </c>
      <c r="D50" s="24" t="s">
        <v>63</v>
      </c>
      <c r="E50" s="24">
        <v>1300000</v>
      </c>
      <c r="F50" s="26">
        <v>0</v>
      </c>
      <c r="G50" s="24">
        <f t="shared" si="6"/>
        <v>0</v>
      </c>
      <c r="H50" s="158" t="s">
        <v>255</v>
      </c>
      <c r="K50" s="93" t="s">
        <v>38</v>
      </c>
    </row>
    <row r="51" spans="1:18">
      <c r="B51" s="160"/>
      <c r="C51" s="24" t="s">
        <v>53</v>
      </c>
      <c r="D51" s="24" t="s">
        <v>63</v>
      </c>
      <c r="E51" s="24">
        <v>1300000</v>
      </c>
      <c r="F51" s="26">
        <v>12</v>
      </c>
      <c r="G51" s="24">
        <f t="shared" ref="G51:G52" si="7">E51*F51</f>
        <v>15600000</v>
      </c>
      <c r="H51" s="158"/>
      <c r="K51" s="24" t="s">
        <v>4</v>
      </c>
      <c r="L51" s="24" t="s">
        <v>15</v>
      </c>
      <c r="M51" s="24"/>
      <c r="N51" s="24" t="s">
        <v>67</v>
      </c>
      <c r="O51" s="24" t="s">
        <v>68</v>
      </c>
      <c r="P51" s="24" t="s">
        <v>9</v>
      </c>
    </row>
    <row r="52" spans="1:18">
      <c r="B52" s="160"/>
      <c r="C52" s="24" t="s">
        <v>256</v>
      </c>
      <c r="D52" s="24" t="s">
        <v>257</v>
      </c>
      <c r="E52" s="24">
        <v>1300000</v>
      </c>
      <c r="F52" s="26">
        <v>0</v>
      </c>
      <c r="G52" s="24">
        <f t="shared" si="7"/>
        <v>0</v>
      </c>
      <c r="H52" s="93" t="s">
        <v>258</v>
      </c>
      <c r="J52" s="18"/>
      <c r="K52" s="24"/>
      <c r="L52" s="24"/>
      <c r="M52" s="4"/>
      <c r="N52" s="4">
        <v>1</v>
      </c>
      <c r="O52" s="24">
        <v>20000000</v>
      </c>
      <c r="P52" s="24">
        <f>O52</f>
        <v>20000000</v>
      </c>
      <c r="Q52" s="18"/>
    </row>
    <row r="53" spans="1:18">
      <c r="B53" s="160"/>
      <c r="C53" s="24" t="s">
        <v>241</v>
      </c>
      <c r="D53" s="24" t="s">
        <v>242</v>
      </c>
      <c r="E53" s="24">
        <v>1300000</v>
      </c>
      <c r="F53" s="24">
        <v>0</v>
      </c>
      <c r="G53" s="24">
        <f t="shared" si="6"/>
        <v>0</v>
      </c>
      <c r="H53" s="93" t="s">
        <v>277</v>
      </c>
      <c r="J53" s="18"/>
      <c r="K53" s="24"/>
      <c r="L53" s="24"/>
      <c r="M53" s="4"/>
      <c r="N53" s="4"/>
      <c r="O53" s="24"/>
      <c r="P53" s="24"/>
      <c r="Q53" s="18"/>
    </row>
    <row r="54" spans="1:18">
      <c r="B54" s="161"/>
      <c r="C54" s="166" t="s">
        <v>10</v>
      </c>
      <c r="D54" s="167"/>
      <c r="E54" s="167"/>
      <c r="F54" s="168"/>
      <c r="G54" s="24">
        <f>SUM(G46:G53)</f>
        <v>62400000</v>
      </c>
      <c r="K54" s="162" t="s">
        <v>11</v>
      </c>
      <c r="L54" s="163"/>
      <c r="M54" s="163"/>
      <c r="N54" s="163"/>
      <c r="O54" s="164"/>
      <c r="P54" s="24">
        <f>SUM(P52:P53)</f>
        <v>20000000</v>
      </c>
    </row>
    <row r="55" spans="1:18" ht="16.5" customHeight="1">
      <c r="B55" s="166" t="s">
        <v>11</v>
      </c>
      <c r="C55" s="167"/>
      <c r="D55" s="167"/>
      <c r="E55" s="167"/>
      <c r="F55" s="168"/>
      <c r="G55" s="24">
        <f>SUM(G45,G54)</f>
        <v>186600000</v>
      </c>
      <c r="Q55" s="3"/>
    </row>
    <row r="56" spans="1:18" ht="17.25" thickBot="1">
      <c r="K56" s="93" t="s">
        <v>39</v>
      </c>
      <c r="Q56" s="3"/>
    </row>
    <row r="57" spans="1:18" ht="17.25" thickBot="1">
      <c r="A57" s="11" t="s">
        <v>20</v>
      </c>
      <c r="B57" s="11" t="s">
        <v>21</v>
      </c>
      <c r="C57" s="11"/>
      <c r="D57" s="11"/>
      <c r="E57" s="11"/>
      <c r="F57" s="11"/>
      <c r="G57" s="12">
        <f>SUM(G65,G73,G78)</f>
        <v>0</v>
      </c>
      <c r="H57" s="94"/>
      <c r="K57" s="24" t="s">
        <v>4</v>
      </c>
      <c r="L57" s="26" t="s">
        <v>15</v>
      </c>
      <c r="M57" s="25"/>
      <c r="N57" s="25"/>
      <c r="O57" s="95"/>
      <c r="P57" s="24" t="s">
        <v>9</v>
      </c>
    </row>
    <row r="58" spans="1:18">
      <c r="B58" s="93" t="s">
        <v>22</v>
      </c>
      <c r="K58" s="159" t="s">
        <v>233</v>
      </c>
      <c r="L58" s="23"/>
      <c r="M58" s="99"/>
      <c r="N58" s="99"/>
      <c r="O58" s="99"/>
      <c r="P58" s="23"/>
      <c r="Q58" s="100"/>
      <c r="R58" s="98"/>
    </row>
    <row r="59" spans="1:18">
      <c r="B59" s="24" t="s">
        <v>23</v>
      </c>
      <c r="C59" s="24" t="s">
        <v>24</v>
      </c>
      <c r="D59" s="24" t="s">
        <v>25</v>
      </c>
      <c r="E59" s="24" t="s">
        <v>26</v>
      </c>
      <c r="F59" s="1" t="s">
        <v>27</v>
      </c>
      <c r="G59" s="24" t="s">
        <v>28</v>
      </c>
      <c r="K59" s="160"/>
      <c r="L59" s="23"/>
      <c r="M59" s="99"/>
      <c r="N59" s="99"/>
      <c r="O59" s="99"/>
      <c r="P59" s="23"/>
      <c r="Q59" s="100"/>
      <c r="R59" s="18"/>
    </row>
    <row r="60" spans="1:18">
      <c r="B60" s="24" t="s">
        <v>50</v>
      </c>
      <c r="C60" s="24" t="s">
        <v>103</v>
      </c>
      <c r="D60" s="24"/>
      <c r="E60" s="24">
        <v>1</v>
      </c>
      <c r="F60" s="24">
        <v>0</v>
      </c>
      <c r="G60" s="24">
        <f>F60*E60</f>
        <v>0</v>
      </c>
      <c r="H60" s="93" t="s">
        <v>250</v>
      </c>
      <c r="I60" s="22"/>
      <c r="K60" s="160"/>
      <c r="L60" s="23"/>
      <c r="M60" s="99"/>
      <c r="N60" s="99"/>
      <c r="O60" s="99"/>
      <c r="P60" s="23"/>
      <c r="Q60" s="100"/>
      <c r="R60" s="18"/>
    </row>
    <row r="61" spans="1:18">
      <c r="B61" s="159" t="s">
        <v>49</v>
      </c>
      <c r="C61" s="24" t="s">
        <v>316</v>
      </c>
      <c r="D61" s="24"/>
      <c r="E61" s="24">
        <v>0</v>
      </c>
      <c r="F61" s="24">
        <v>500000000</v>
      </c>
      <c r="G61" s="24">
        <f>F61*E61</f>
        <v>0</v>
      </c>
      <c r="H61" s="165" t="s">
        <v>246</v>
      </c>
      <c r="I61" s="22"/>
      <c r="K61" s="161"/>
      <c r="L61" s="23"/>
      <c r="M61" s="99"/>
      <c r="N61" s="99"/>
      <c r="O61" s="99"/>
      <c r="P61" s="23"/>
      <c r="Q61" s="100"/>
      <c r="R61" s="18"/>
    </row>
    <row r="62" spans="1:18">
      <c r="B62" s="160"/>
      <c r="C62" s="24" t="s">
        <v>215</v>
      </c>
      <c r="D62" s="24"/>
      <c r="E62" s="24">
        <v>0</v>
      </c>
      <c r="F62" s="24">
        <v>29900000</v>
      </c>
      <c r="G62" s="24">
        <f t="shared" ref="G62:G64" si="8">F62*E62</f>
        <v>0</v>
      </c>
      <c r="H62" s="158"/>
      <c r="K62" s="162" t="s">
        <v>11</v>
      </c>
      <c r="L62" s="163"/>
      <c r="M62" s="163"/>
      <c r="N62" s="163"/>
      <c r="O62" s="164"/>
      <c r="P62" s="24">
        <f>SUM(P58:P61)</f>
        <v>0</v>
      </c>
    </row>
    <row r="63" spans="1:18" ht="16.5" customHeight="1">
      <c r="B63" s="160"/>
      <c r="C63" s="24" t="s">
        <v>211</v>
      </c>
      <c r="D63" s="24"/>
      <c r="E63" s="24">
        <v>0</v>
      </c>
      <c r="F63" s="24">
        <f>86850000+30000</f>
        <v>86880000</v>
      </c>
      <c r="G63" s="24">
        <f t="shared" si="8"/>
        <v>0</v>
      </c>
      <c r="H63" s="165" t="s">
        <v>213</v>
      </c>
    </row>
    <row r="64" spans="1:18" ht="16.5" customHeight="1">
      <c r="B64" s="161"/>
      <c r="C64" s="24" t="s">
        <v>212</v>
      </c>
      <c r="D64" s="24"/>
      <c r="E64" s="24">
        <v>0</v>
      </c>
      <c r="F64" s="24">
        <f>90900000+30000</f>
        <v>90930000</v>
      </c>
      <c r="G64" s="24">
        <f t="shared" si="8"/>
        <v>0</v>
      </c>
      <c r="H64" s="158"/>
      <c r="K64" s="93" t="s">
        <v>41</v>
      </c>
      <c r="Q64" s="94"/>
    </row>
    <row r="65" spans="1:26">
      <c r="B65" s="26" t="s">
        <v>11</v>
      </c>
      <c r="C65" s="5"/>
      <c r="D65" s="5"/>
      <c r="E65" s="5"/>
      <c r="F65" s="6"/>
      <c r="G65" s="24">
        <f>SUM(G60:G64)</f>
        <v>0</v>
      </c>
      <c r="K65" s="24" t="s">
        <v>4</v>
      </c>
      <c r="L65" s="123" t="s">
        <v>15</v>
      </c>
      <c r="M65" s="25"/>
      <c r="N65" s="25"/>
      <c r="O65" s="95"/>
      <c r="P65" s="24" t="s">
        <v>9</v>
      </c>
      <c r="Q65" s="94"/>
      <c r="R65" s="98"/>
    </row>
    <row r="66" spans="1:26">
      <c r="K66" s="159" t="s">
        <v>234</v>
      </c>
      <c r="L66" s="101"/>
      <c r="M66" s="102"/>
      <c r="N66" s="103"/>
      <c r="O66" s="23"/>
      <c r="P66" s="23"/>
      <c r="Q66" s="80"/>
      <c r="R66" s="18"/>
    </row>
    <row r="67" spans="1:26">
      <c r="H67" s="96"/>
      <c r="K67" s="161"/>
      <c r="L67" s="101"/>
      <c r="M67" s="102"/>
      <c r="N67" s="103"/>
      <c r="O67" s="23"/>
      <c r="P67" s="23"/>
      <c r="Q67" s="80"/>
      <c r="R67" s="18"/>
    </row>
    <row r="68" spans="1:26">
      <c r="B68" s="93" t="s">
        <v>29</v>
      </c>
      <c r="K68" s="162" t="s">
        <v>11</v>
      </c>
      <c r="L68" s="163"/>
      <c r="M68" s="163"/>
      <c r="N68" s="163"/>
      <c r="O68" s="164"/>
      <c r="P68" s="24">
        <f>SUM(P66:P67)</f>
        <v>0</v>
      </c>
      <c r="Q68" s="98"/>
      <c r="R68" s="18"/>
      <c r="S68" s="94"/>
      <c r="T68" s="94"/>
      <c r="U68" s="94"/>
      <c r="V68" s="18"/>
      <c r="W68" s="181"/>
      <c r="X68" s="181"/>
      <c r="Y68" s="181"/>
      <c r="Z68" s="18"/>
    </row>
    <row r="69" spans="1:26">
      <c r="B69" s="24" t="s">
        <v>4</v>
      </c>
      <c r="C69" s="24" t="s">
        <v>23</v>
      </c>
      <c r="D69" s="24" t="s">
        <v>30</v>
      </c>
      <c r="E69" s="24" t="s">
        <v>26</v>
      </c>
      <c r="F69" s="1" t="s">
        <v>27</v>
      </c>
      <c r="G69" s="24" t="s">
        <v>28</v>
      </c>
      <c r="Q69" s="98"/>
      <c r="S69" s="94"/>
      <c r="T69" s="94"/>
      <c r="U69" s="94"/>
      <c r="V69" s="18"/>
      <c r="W69" s="181"/>
      <c r="X69" s="181"/>
      <c r="Y69" s="181"/>
      <c r="Z69" s="18"/>
    </row>
    <row r="70" spans="1:26">
      <c r="B70" s="120" t="s">
        <v>201</v>
      </c>
      <c r="C70" s="95" t="s">
        <v>181</v>
      </c>
      <c r="D70" s="24"/>
      <c r="E70" s="24">
        <v>0</v>
      </c>
      <c r="F70" s="2">
        <v>20000000</v>
      </c>
      <c r="G70" s="24">
        <f t="shared" ref="G70" si="9">F70*E70</f>
        <v>0</v>
      </c>
      <c r="H70" s="75"/>
      <c r="K70" s="93" t="s">
        <v>70</v>
      </c>
    </row>
    <row r="71" spans="1:26">
      <c r="B71" s="172" t="s">
        <v>187</v>
      </c>
      <c r="C71" s="24" t="s">
        <v>188</v>
      </c>
      <c r="D71" s="24"/>
      <c r="E71" s="24">
        <v>0</v>
      </c>
      <c r="F71" s="2">
        <v>8000000</v>
      </c>
      <c r="G71" s="24">
        <f t="shared" ref="G71:G72" si="10">F71*E71</f>
        <v>0</v>
      </c>
      <c r="H71" s="75"/>
      <c r="K71" s="24" t="s">
        <v>71</v>
      </c>
      <c r="L71" s="24" t="s">
        <v>72</v>
      </c>
      <c r="M71" s="24"/>
      <c r="N71" s="24"/>
      <c r="O71" s="24"/>
      <c r="P71" s="24"/>
      <c r="R71" s="18"/>
    </row>
    <row r="72" spans="1:26">
      <c r="B72" s="173"/>
      <c r="C72" s="24" t="s">
        <v>247</v>
      </c>
      <c r="D72" s="24"/>
      <c r="E72" s="24">
        <v>0</v>
      </c>
      <c r="F72" s="2">
        <v>2000000</v>
      </c>
      <c r="G72" s="24">
        <f t="shared" si="10"/>
        <v>0</v>
      </c>
      <c r="H72" s="165" t="s">
        <v>248</v>
      </c>
      <c r="K72" s="24" t="s">
        <v>73</v>
      </c>
      <c r="L72" s="24">
        <v>0</v>
      </c>
      <c r="M72" s="24"/>
      <c r="N72" s="24"/>
      <c r="O72" s="24"/>
      <c r="P72" s="24"/>
      <c r="Q72" s="156" t="s">
        <v>77</v>
      </c>
      <c r="R72" s="180" t="s">
        <v>252</v>
      </c>
    </row>
    <row r="73" spans="1:26">
      <c r="B73" s="26" t="s">
        <v>11</v>
      </c>
      <c r="C73" s="7"/>
      <c r="D73" s="7"/>
      <c r="E73" s="7"/>
      <c r="F73" s="8"/>
      <c r="G73" s="121">
        <f>SUM(G70:G72)</f>
        <v>0</v>
      </c>
      <c r="H73" s="158"/>
      <c r="K73" s="24" t="s">
        <v>74</v>
      </c>
      <c r="L73" s="24">
        <v>0</v>
      </c>
      <c r="M73" s="24"/>
      <c r="N73" s="24"/>
      <c r="O73" s="24"/>
      <c r="P73" s="24"/>
      <c r="Q73" s="156"/>
      <c r="R73" s="181"/>
      <c r="S73" s="97"/>
    </row>
    <row r="74" spans="1:26">
      <c r="K74" s="162" t="s">
        <v>75</v>
      </c>
      <c r="L74" s="163"/>
      <c r="M74" s="163"/>
      <c r="N74" s="163"/>
      <c r="O74" s="164"/>
      <c r="P74" s="24">
        <f>SUM(P72,P73)</f>
        <v>0</v>
      </c>
      <c r="R74" s="17"/>
    </row>
    <row r="75" spans="1:26">
      <c r="B75" s="93" t="s">
        <v>31</v>
      </c>
      <c r="R75" s="17"/>
    </row>
    <row r="76" spans="1:26">
      <c r="B76" s="120" t="s">
        <v>4</v>
      </c>
      <c r="C76" s="123" t="s">
        <v>15</v>
      </c>
      <c r="D76" s="13"/>
      <c r="E76" s="13"/>
      <c r="F76" s="14"/>
      <c r="G76" s="120" t="s">
        <v>9</v>
      </c>
      <c r="I76" s="21"/>
      <c r="K76" s="93" t="s">
        <v>42</v>
      </c>
      <c r="S76" s="97"/>
    </row>
    <row r="77" spans="1:26">
      <c r="B77" s="24"/>
      <c r="C77" s="24"/>
      <c r="D77" s="24"/>
      <c r="E77" s="4"/>
      <c r="F77" s="4"/>
      <c r="G77" s="24">
        <f>F77*E77</f>
        <v>0</v>
      </c>
      <c r="K77" s="24" t="s">
        <v>4</v>
      </c>
      <c r="L77" s="26" t="s">
        <v>15</v>
      </c>
      <c r="M77" s="25"/>
      <c r="N77" s="25"/>
      <c r="O77" s="95"/>
      <c r="P77" s="24" t="s">
        <v>9</v>
      </c>
      <c r="R77" s="17"/>
    </row>
    <row r="78" spans="1:26">
      <c r="B78" s="124" t="s">
        <v>11</v>
      </c>
      <c r="C78" s="7"/>
      <c r="D78" s="7"/>
      <c r="E78" s="7"/>
      <c r="F78" s="8"/>
      <c r="G78" s="121">
        <f>SUM(G77:G77)</f>
        <v>0</v>
      </c>
      <c r="K78" s="159" t="s">
        <v>85</v>
      </c>
      <c r="L78" s="24" t="s">
        <v>82</v>
      </c>
      <c r="M78" s="4"/>
      <c r="N78" s="2">
        <v>500000</v>
      </c>
      <c r="O78" s="24">
        <v>1</v>
      </c>
      <c r="P78" s="24">
        <v>0</v>
      </c>
      <c r="R78" s="17"/>
    </row>
    <row r="79" spans="1:26" ht="17.25" thickBot="1">
      <c r="K79" s="160"/>
      <c r="L79" s="24" t="s">
        <v>83</v>
      </c>
      <c r="M79" s="4"/>
      <c r="N79" s="2">
        <v>50000</v>
      </c>
      <c r="O79" s="24">
        <v>1</v>
      </c>
      <c r="P79" s="24">
        <v>0</v>
      </c>
    </row>
    <row r="80" spans="1:26" ht="17.25" thickBot="1">
      <c r="A80" s="11" t="s">
        <v>32</v>
      </c>
      <c r="B80" s="76" t="s">
        <v>33</v>
      </c>
      <c r="C80" s="11"/>
      <c r="D80" s="11"/>
      <c r="E80" s="11"/>
      <c r="F80" s="11"/>
      <c r="G80" s="149">
        <f>SUM(G91)</f>
        <v>100000000</v>
      </c>
      <c r="K80" s="161"/>
      <c r="L80" s="24" t="s">
        <v>84</v>
      </c>
      <c r="M80" s="4"/>
      <c r="N80" s="2">
        <v>0</v>
      </c>
      <c r="O80" s="24">
        <v>1</v>
      </c>
      <c r="P80" s="24">
        <f t="shared" ref="P80" si="11">N80*O80</f>
        <v>0</v>
      </c>
    </row>
    <row r="81" spans="1:18">
      <c r="B81" s="93" t="s">
        <v>34</v>
      </c>
      <c r="K81" s="162" t="s">
        <v>11</v>
      </c>
      <c r="L81" s="163"/>
      <c r="M81" s="163"/>
      <c r="N81" s="163"/>
      <c r="O81" s="164"/>
      <c r="P81" s="24">
        <v>0</v>
      </c>
    </row>
    <row r="82" spans="1:18">
      <c r="B82" s="120" t="s">
        <v>23</v>
      </c>
      <c r="C82" s="120" t="s">
        <v>24</v>
      </c>
      <c r="D82" s="120" t="s">
        <v>25</v>
      </c>
      <c r="E82" s="120" t="s">
        <v>26</v>
      </c>
      <c r="F82" s="15" t="s">
        <v>35</v>
      </c>
      <c r="G82" s="120" t="s">
        <v>28</v>
      </c>
    </row>
    <row r="83" spans="1:18">
      <c r="B83" s="24" t="s">
        <v>281</v>
      </c>
      <c r="C83" s="24" t="s">
        <v>280</v>
      </c>
      <c r="D83" s="24" t="s">
        <v>189</v>
      </c>
      <c r="E83" s="24">
        <v>50</v>
      </c>
      <c r="F83" s="2">
        <v>90000</v>
      </c>
      <c r="G83" s="24">
        <v>0</v>
      </c>
      <c r="H83" s="93" t="s">
        <v>283</v>
      </c>
      <c r="K83" s="93" t="s">
        <v>44</v>
      </c>
    </row>
    <row r="84" spans="1:18">
      <c r="B84" s="171" t="s">
        <v>194</v>
      </c>
      <c r="C84" s="121" t="s">
        <v>177</v>
      </c>
      <c r="D84" s="121" t="s">
        <v>180</v>
      </c>
      <c r="E84" s="121">
        <v>0</v>
      </c>
      <c r="F84" s="146">
        <v>462000</v>
      </c>
      <c r="G84" s="24">
        <f t="shared" ref="G84:G89" si="12">F84*E84</f>
        <v>0</v>
      </c>
      <c r="H84" s="80"/>
      <c r="K84" s="24" t="s">
        <v>4</v>
      </c>
      <c r="L84" s="26" t="s">
        <v>15</v>
      </c>
      <c r="M84" s="25"/>
      <c r="N84" s="25"/>
      <c r="O84" s="95"/>
      <c r="P84" s="24" t="s">
        <v>9</v>
      </c>
    </row>
    <row r="85" spans="1:18">
      <c r="B85" s="171"/>
      <c r="C85" s="121" t="s">
        <v>178</v>
      </c>
      <c r="D85" s="121" t="s">
        <v>180</v>
      </c>
      <c r="E85" s="121">
        <v>0</v>
      </c>
      <c r="F85" s="146">
        <v>152000</v>
      </c>
      <c r="G85" s="24">
        <f t="shared" si="12"/>
        <v>0</v>
      </c>
      <c r="H85" s="80"/>
      <c r="K85" s="24" t="s">
        <v>78</v>
      </c>
      <c r="L85" s="24" t="s">
        <v>199</v>
      </c>
      <c r="M85" s="4"/>
      <c r="N85" s="4">
        <v>100</v>
      </c>
      <c r="O85" s="24">
        <v>1500</v>
      </c>
      <c r="P85" s="24">
        <v>0</v>
      </c>
      <c r="R85" s="94"/>
    </row>
    <row r="86" spans="1:18">
      <c r="B86" s="171"/>
      <c r="C86" s="121" t="s">
        <v>179</v>
      </c>
      <c r="D86" s="121" t="s">
        <v>180</v>
      </c>
      <c r="E86" s="121">
        <v>0</v>
      </c>
      <c r="F86" s="146">
        <v>20000</v>
      </c>
      <c r="G86" s="24">
        <f>F86*E86</f>
        <v>0</v>
      </c>
      <c r="H86" s="80"/>
      <c r="K86" s="24"/>
      <c r="L86" s="24"/>
      <c r="M86" s="4"/>
      <c r="N86" s="4"/>
      <c r="O86" s="24"/>
      <c r="P86" s="24"/>
      <c r="R86" s="94"/>
    </row>
    <row r="87" spans="1:18">
      <c r="B87" s="171"/>
      <c r="C87" s="24" t="s">
        <v>285</v>
      </c>
      <c r="D87" s="24" t="s">
        <v>180</v>
      </c>
      <c r="E87" s="24">
        <v>200</v>
      </c>
      <c r="F87" s="24">
        <v>50000</v>
      </c>
      <c r="G87" s="24">
        <f>F87*E87</f>
        <v>10000000</v>
      </c>
      <c r="H87" s="80"/>
      <c r="K87" s="162" t="s">
        <v>11</v>
      </c>
      <c r="L87" s="163"/>
      <c r="M87" s="163"/>
      <c r="N87" s="163"/>
      <c r="O87" s="164"/>
      <c r="P87" s="24">
        <v>0</v>
      </c>
    </row>
    <row r="88" spans="1:18">
      <c r="B88" s="24" t="s">
        <v>196</v>
      </c>
      <c r="C88" s="121" t="s">
        <v>306</v>
      </c>
      <c r="D88" s="121" t="s">
        <v>197</v>
      </c>
      <c r="E88" s="121">
        <v>4</v>
      </c>
      <c r="F88" s="146">
        <f>7500000</f>
        <v>7500000</v>
      </c>
      <c r="G88" s="121">
        <f t="shared" si="12"/>
        <v>30000000</v>
      </c>
      <c r="H88" s="75"/>
      <c r="K88" s="94"/>
      <c r="L88" s="94"/>
      <c r="M88" s="94"/>
      <c r="N88" s="94"/>
      <c r="O88" s="94"/>
    </row>
    <row r="89" spans="1:18">
      <c r="B89" s="24"/>
      <c r="C89" s="121" t="s">
        <v>315</v>
      </c>
      <c r="D89" s="121"/>
      <c r="E89" s="121">
        <v>6</v>
      </c>
      <c r="F89" s="146">
        <v>10000000</v>
      </c>
      <c r="G89" s="121">
        <f t="shared" si="12"/>
        <v>60000000</v>
      </c>
      <c r="H89" s="3"/>
      <c r="K89" s="94"/>
      <c r="L89" s="94"/>
      <c r="M89" s="94"/>
      <c r="N89" s="94"/>
      <c r="O89" s="94"/>
    </row>
    <row r="90" spans="1:18">
      <c r="B90" s="4" t="s">
        <v>195</v>
      </c>
      <c r="C90" s="24" t="s">
        <v>262</v>
      </c>
      <c r="D90" s="24" t="s">
        <v>198</v>
      </c>
      <c r="E90" s="24">
        <v>50</v>
      </c>
      <c r="F90" s="2">
        <v>385000</v>
      </c>
      <c r="G90" s="24">
        <v>0</v>
      </c>
      <c r="K90" s="93" t="s">
        <v>76</v>
      </c>
      <c r="R90" s="94"/>
    </row>
    <row r="91" spans="1:18">
      <c r="B91" s="121" t="s">
        <v>11</v>
      </c>
      <c r="C91" s="121"/>
      <c r="D91" s="121"/>
      <c r="E91" s="121"/>
      <c r="F91" s="121"/>
      <c r="G91" s="121">
        <f>SUM(G83:G90)</f>
        <v>100000000</v>
      </c>
      <c r="R91" s="94"/>
    </row>
    <row r="92" spans="1:18">
      <c r="C92" s="3"/>
      <c r="D92" s="3"/>
      <c r="E92" s="3"/>
      <c r="F92" s="3"/>
      <c r="K92" s="24" t="s">
        <v>4</v>
      </c>
      <c r="L92" s="26" t="s">
        <v>15</v>
      </c>
      <c r="M92" s="5"/>
      <c r="N92" s="5"/>
      <c r="O92" s="5"/>
      <c r="P92" s="24" t="s">
        <v>9</v>
      </c>
      <c r="R92" s="94"/>
    </row>
    <row r="93" spans="1:18" ht="17.25" thickBot="1">
      <c r="K93" s="23" t="s">
        <v>115</v>
      </c>
      <c r="L93" s="23">
        <f>50000000</f>
        <v>50000000</v>
      </c>
      <c r="M93" s="99"/>
      <c r="N93" s="99"/>
      <c r="O93" s="99"/>
      <c r="P93" s="23">
        <v>0</v>
      </c>
      <c r="Q93" s="94" t="s">
        <v>268</v>
      </c>
      <c r="R93" s="94">
        <f>230000000-P93</f>
        <v>230000000</v>
      </c>
    </row>
    <row r="94" spans="1:18" ht="17.25" thickBot="1">
      <c r="A94" s="11" t="s">
        <v>36</v>
      </c>
      <c r="B94" s="11" t="s">
        <v>37</v>
      </c>
      <c r="C94" s="11"/>
      <c r="D94" s="11"/>
      <c r="E94" s="11"/>
      <c r="F94" s="11"/>
      <c r="G94" s="145">
        <f>SUM(G104,G116,G121,G139,G146,G151,G159,G165,G171,G178,G185)</f>
        <v>1994734200</v>
      </c>
      <c r="K94" s="23" t="s">
        <v>116</v>
      </c>
      <c r="L94" s="23">
        <v>50000000</v>
      </c>
      <c r="M94" s="108"/>
      <c r="N94" s="108"/>
      <c r="O94" s="109"/>
      <c r="P94" s="23">
        <v>0</v>
      </c>
      <c r="Q94" s="94" t="s">
        <v>269</v>
      </c>
      <c r="R94" s="94">
        <f>265652200-P94</f>
        <v>265652200</v>
      </c>
    </row>
    <row r="95" spans="1:18">
      <c r="B95" s="93" t="s">
        <v>38</v>
      </c>
      <c r="K95" s="26" t="s">
        <v>11</v>
      </c>
      <c r="L95" s="25"/>
      <c r="M95" s="25"/>
      <c r="N95" s="25"/>
      <c r="O95" s="95"/>
      <c r="P95" s="24">
        <f>SUM(P93:P94)</f>
        <v>0</v>
      </c>
    </row>
    <row r="96" spans="1:18">
      <c r="B96" s="24" t="s">
        <v>4</v>
      </c>
      <c r="C96" s="24" t="s">
        <v>15</v>
      </c>
      <c r="D96" s="24"/>
      <c r="E96" s="24" t="s">
        <v>67</v>
      </c>
      <c r="F96" s="24" t="s">
        <v>68</v>
      </c>
      <c r="G96" s="24" t="s">
        <v>9</v>
      </c>
    </row>
    <row r="97" spans="2:19">
      <c r="B97" s="159" t="s">
        <v>65</v>
      </c>
      <c r="C97" s="24" t="s">
        <v>294</v>
      </c>
      <c r="D97" s="4"/>
      <c r="E97" s="4">
        <v>3</v>
      </c>
      <c r="F97" s="2">
        <v>1000000</v>
      </c>
      <c r="G97" s="24">
        <f t="shared" ref="G97:G99" si="13">E97*F97</f>
        <v>3000000</v>
      </c>
      <c r="H97" s="158" t="s">
        <v>270</v>
      </c>
      <c r="K97" s="93" t="s">
        <v>47</v>
      </c>
    </row>
    <row r="98" spans="2:19">
      <c r="B98" s="161"/>
      <c r="C98" s="24" t="s">
        <v>286</v>
      </c>
      <c r="D98" s="4"/>
      <c r="E98" s="4">
        <v>7</v>
      </c>
      <c r="F98" s="2">
        <v>5000000</v>
      </c>
      <c r="G98" s="24">
        <f t="shared" si="13"/>
        <v>35000000</v>
      </c>
      <c r="H98" s="158"/>
      <c r="K98" s="24" t="s">
        <v>4</v>
      </c>
      <c r="L98" s="26" t="s">
        <v>15</v>
      </c>
      <c r="M98" s="25"/>
      <c r="N98" s="25"/>
      <c r="O98" s="95"/>
      <c r="P98" s="24" t="s">
        <v>9</v>
      </c>
      <c r="R98" s="18"/>
    </row>
    <row r="99" spans="2:19">
      <c r="B99" s="121" t="s">
        <v>297</v>
      </c>
      <c r="C99" s="24" t="s">
        <v>298</v>
      </c>
      <c r="D99" s="4"/>
      <c r="E99" s="4">
        <v>4</v>
      </c>
      <c r="F99" s="2">
        <v>1500000</v>
      </c>
      <c r="G99" s="24">
        <f t="shared" si="13"/>
        <v>6000000</v>
      </c>
      <c r="I99" s="21"/>
      <c r="K99" s="24"/>
      <c r="L99" s="25"/>
      <c r="M99" s="24"/>
      <c r="N99" s="25"/>
      <c r="O99" s="25"/>
      <c r="P99" s="24">
        <f>M99</f>
        <v>0</v>
      </c>
    </row>
    <row r="100" spans="2:19">
      <c r="B100" s="122" t="s">
        <v>66</v>
      </c>
      <c r="C100" s="122" t="s">
        <v>325</v>
      </c>
      <c r="D100" s="140"/>
      <c r="E100" s="140">
        <v>22</v>
      </c>
      <c r="F100" s="141">
        <v>2000000</v>
      </c>
      <c r="G100" s="122">
        <f>E100*F100</f>
        <v>44000000</v>
      </c>
      <c r="H100" s="94" t="s">
        <v>304</v>
      </c>
      <c r="K100" s="24"/>
      <c r="L100" s="24"/>
      <c r="M100" s="24"/>
      <c r="N100" s="24"/>
      <c r="O100" s="24"/>
      <c r="P100" s="24">
        <f>M100</f>
        <v>0</v>
      </c>
    </row>
    <row r="101" spans="2:19">
      <c r="B101" s="122" t="s">
        <v>287</v>
      </c>
      <c r="C101" s="122" t="s">
        <v>320</v>
      </c>
      <c r="D101" s="140"/>
      <c r="E101" s="140" t="s">
        <v>205</v>
      </c>
      <c r="F101" s="141" t="s">
        <v>205</v>
      </c>
      <c r="G101" s="122">
        <f>7000000*69</f>
        <v>483000000</v>
      </c>
      <c r="H101" s="94" t="s">
        <v>327</v>
      </c>
      <c r="K101" s="26"/>
      <c r="L101" s="25"/>
      <c r="M101" s="25"/>
      <c r="N101" s="25"/>
      <c r="O101" s="95"/>
      <c r="P101" s="24"/>
    </row>
    <row r="102" spans="2:19">
      <c r="B102" s="122" t="s">
        <v>319</v>
      </c>
      <c r="C102" s="122" t="s">
        <v>330</v>
      </c>
      <c r="D102" s="140"/>
      <c r="E102" s="140"/>
      <c r="F102" s="141"/>
      <c r="G102" s="122">
        <f>(40*6000000+26*2000000+40*2000000)+(40*2800000+31*1600000)</f>
        <v>533600000</v>
      </c>
      <c r="H102" s="94"/>
      <c r="K102" s="26"/>
      <c r="L102" s="25"/>
      <c r="M102" s="25"/>
      <c r="N102" s="25"/>
      <c r="O102" s="95"/>
      <c r="P102" s="24"/>
    </row>
    <row r="103" spans="2:19">
      <c r="B103" s="122" t="s">
        <v>64</v>
      </c>
      <c r="C103" s="122" t="s">
        <v>324</v>
      </c>
      <c r="D103" s="140"/>
      <c r="E103" s="140">
        <v>25</v>
      </c>
      <c r="F103" s="141">
        <v>8500000</v>
      </c>
      <c r="G103" s="122">
        <f t="shared" ref="G103" si="14">E103*F103</f>
        <v>212500000</v>
      </c>
      <c r="H103" s="75" t="s">
        <v>299</v>
      </c>
      <c r="K103" s="162" t="s">
        <v>11</v>
      </c>
      <c r="L103" s="163"/>
      <c r="M103" s="163"/>
      <c r="N103" s="163"/>
      <c r="O103" s="164"/>
      <c r="P103" s="24">
        <f>SUM(P99:P100)</f>
        <v>0</v>
      </c>
    </row>
    <row r="104" spans="2:19">
      <c r="B104" s="26" t="s">
        <v>11</v>
      </c>
      <c r="C104" s="25"/>
      <c r="D104" s="25"/>
      <c r="E104" s="25"/>
      <c r="F104" s="95"/>
      <c r="G104" s="24">
        <f>SUM(G97:G103)</f>
        <v>1317100000</v>
      </c>
      <c r="K104" s="94"/>
      <c r="L104" s="94"/>
      <c r="M104" s="94"/>
      <c r="N104" s="94"/>
      <c r="O104" s="94"/>
    </row>
    <row r="105" spans="2:19">
      <c r="K105" s="3"/>
      <c r="L105" s="3"/>
      <c r="M105" s="3"/>
      <c r="N105" s="3"/>
      <c r="O105" s="3"/>
    </row>
    <row r="106" spans="2:19">
      <c r="B106" s="93" t="s">
        <v>39</v>
      </c>
    </row>
    <row r="107" spans="2:19">
      <c r="B107" s="24" t="s">
        <v>4</v>
      </c>
      <c r="C107" s="26" t="s">
        <v>15</v>
      </c>
      <c r="D107" s="25"/>
      <c r="E107" s="25"/>
      <c r="F107" s="95"/>
      <c r="G107" s="24" t="s">
        <v>9</v>
      </c>
      <c r="K107" s="184" t="s">
        <v>104</v>
      </c>
      <c r="L107" s="122" t="s">
        <v>105</v>
      </c>
      <c r="M107" s="122">
        <v>12000000</v>
      </c>
      <c r="N107" s="158" t="s">
        <v>112</v>
      </c>
    </row>
    <row r="108" spans="2:19">
      <c r="B108" s="172" t="s">
        <v>90</v>
      </c>
      <c r="C108" s="24" t="s">
        <v>88</v>
      </c>
      <c r="D108" s="4"/>
      <c r="E108" s="4">
        <v>1</v>
      </c>
      <c r="F108" s="4">
        <v>240000</v>
      </c>
      <c r="G108" s="24">
        <f t="shared" ref="G108:G113" si="15">E108*F108</f>
        <v>240000</v>
      </c>
      <c r="K108" s="184"/>
      <c r="L108" s="24" t="s">
        <v>106</v>
      </c>
      <c r="M108" s="24">
        <v>100000000</v>
      </c>
      <c r="N108" s="158"/>
      <c r="O108" s="181" t="s">
        <v>176</v>
      </c>
    </row>
    <row r="109" spans="2:19">
      <c r="B109" s="158"/>
      <c r="C109" s="24" t="s">
        <v>89</v>
      </c>
      <c r="D109" s="4"/>
      <c r="E109" s="4">
        <v>1</v>
      </c>
      <c r="F109" s="4">
        <v>100000</v>
      </c>
      <c r="G109" s="24">
        <f t="shared" si="15"/>
        <v>100000</v>
      </c>
      <c r="K109" s="171" t="s">
        <v>107</v>
      </c>
      <c r="L109" s="24" t="s">
        <v>108</v>
      </c>
      <c r="M109" s="24">
        <v>40000000</v>
      </c>
      <c r="N109" s="158" t="s">
        <v>113</v>
      </c>
      <c r="O109" s="181"/>
      <c r="S109" s="18"/>
    </row>
    <row r="110" spans="2:19">
      <c r="B110" s="158"/>
      <c r="C110" s="24" t="s">
        <v>290</v>
      </c>
      <c r="D110" s="4"/>
      <c r="E110" s="4">
        <v>1</v>
      </c>
      <c r="F110" s="4">
        <v>652000</v>
      </c>
      <c r="G110" s="24">
        <f t="shared" si="15"/>
        <v>652000</v>
      </c>
      <c r="H110" s="165"/>
      <c r="K110" s="171"/>
      <c r="L110" s="24" t="s">
        <v>109</v>
      </c>
      <c r="M110" s="24">
        <v>20000000</v>
      </c>
      <c r="N110" s="158"/>
      <c r="O110" s="181"/>
      <c r="S110" s="18"/>
    </row>
    <row r="111" spans="2:19">
      <c r="B111" s="158"/>
      <c r="C111" s="24" t="s">
        <v>291</v>
      </c>
      <c r="D111" s="4"/>
      <c r="E111" s="4">
        <v>1</v>
      </c>
      <c r="F111" s="4">
        <v>320000</v>
      </c>
      <c r="G111" s="24">
        <f t="shared" si="15"/>
        <v>320000</v>
      </c>
      <c r="H111" s="165"/>
      <c r="K111" s="122" t="s">
        <v>110</v>
      </c>
      <c r="L111" s="122" t="s">
        <v>111</v>
      </c>
      <c r="M111" s="122">
        <v>4500000</v>
      </c>
      <c r="N111" s="93" t="s">
        <v>114</v>
      </c>
      <c r="S111" s="94"/>
    </row>
    <row r="112" spans="2:19">
      <c r="B112" s="158"/>
      <c r="C112" s="24" t="s">
        <v>292</v>
      </c>
      <c r="D112" s="4"/>
      <c r="E112" s="4">
        <v>1</v>
      </c>
      <c r="F112" s="4">
        <v>652000</v>
      </c>
      <c r="G112" s="24">
        <f t="shared" si="15"/>
        <v>652000</v>
      </c>
      <c r="H112" s="165"/>
    </row>
    <row r="113" spans="2:24">
      <c r="B113" s="158"/>
      <c r="C113" s="120" t="s">
        <v>293</v>
      </c>
      <c r="D113" s="147"/>
      <c r="E113" s="147">
        <v>1</v>
      </c>
      <c r="F113" s="4">
        <v>320000</v>
      </c>
      <c r="G113" s="120">
        <f t="shared" si="15"/>
        <v>320000</v>
      </c>
      <c r="H113" s="165"/>
      <c r="Q113" s="3"/>
      <c r="T113" s="18"/>
      <c r="U113" s="18"/>
      <c r="V113" s="18"/>
      <c r="W113" s="18"/>
      <c r="X113" s="18"/>
    </row>
    <row r="114" spans="2:24">
      <c r="B114" s="158"/>
      <c r="C114" s="24" t="s">
        <v>254</v>
      </c>
      <c r="D114" s="4"/>
      <c r="E114" s="4">
        <v>0</v>
      </c>
      <c r="F114" s="4">
        <v>1900000</v>
      </c>
      <c r="G114" s="24">
        <f t="shared" ref="G114:G115" si="16">E114*F114</f>
        <v>0</v>
      </c>
      <c r="H114" s="165" t="s">
        <v>263</v>
      </c>
      <c r="T114" s="18"/>
      <c r="U114" s="18"/>
      <c r="V114" s="18"/>
      <c r="W114" s="18"/>
      <c r="X114" s="18"/>
    </row>
    <row r="115" spans="2:24">
      <c r="B115" s="173"/>
      <c r="C115" s="24" t="s">
        <v>251</v>
      </c>
      <c r="D115" s="4"/>
      <c r="E115" s="4">
        <v>0</v>
      </c>
      <c r="F115" s="4">
        <v>1000000</v>
      </c>
      <c r="G115" s="24">
        <f t="shared" si="16"/>
        <v>0</v>
      </c>
      <c r="H115" s="165"/>
      <c r="T115" s="94"/>
      <c r="U115" s="94"/>
      <c r="V115" s="94"/>
      <c r="W115" s="94"/>
      <c r="X115" s="94"/>
    </row>
    <row r="116" spans="2:24">
      <c r="B116" s="26" t="s">
        <v>11</v>
      </c>
      <c r="C116" s="7"/>
      <c r="D116" s="7"/>
      <c r="E116" s="7"/>
      <c r="F116" s="8"/>
      <c r="G116" s="121">
        <f>SUM(G108:G115)</f>
        <v>2284000</v>
      </c>
      <c r="H116" s="80"/>
      <c r="K116" s="169" t="s">
        <v>190</v>
      </c>
      <c r="L116" s="169"/>
    </row>
    <row r="117" spans="2:24" ht="16.5" customHeight="1">
      <c r="H117" s="80"/>
      <c r="K117" s="105" t="s">
        <v>191</v>
      </c>
      <c r="L117" s="106">
        <f>500+400+300+200</f>
        <v>1400</v>
      </c>
      <c r="M117" s="156" t="s">
        <v>236</v>
      </c>
      <c r="N117" s="181"/>
      <c r="O117" s="181"/>
      <c r="P117" s="181"/>
    </row>
    <row r="118" spans="2:24" ht="16.5" customHeight="1">
      <c r="B118" s="93" t="s">
        <v>40</v>
      </c>
      <c r="H118" s="104"/>
      <c r="K118" s="106"/>
      <c r="L118" s="106"/>
      <c r="M118" s="156"/>
      <c r="N118" s="157"/>
      <c r="O118" s="157"/>
      <c r="P118" s="157"/>
    </row>
    <row r="119" spans="2:24">
      <c r="B119" s="24" t="s">
        <v>4</v>
      </c>
      <c r="C119" s="26" t="s">
        <v>15</v>
      </c>
      <c r="D119" s="25"/>
      <c r="E119" s="25"/>
      <c r="F119" s="95"/>
      <c r="G119" s="26" t="s">
        <v>9</v>
      </c>
      <c r="H119" s="104"/>
      <c r="K119" s="106"/>
      <c r="L119" s="106"/>
      <c r="M119" s="158"/>
      <c r="N119" s="157"/>
      <c r="O119" s="157"/>
      <c r="P119" s="157"/>
    </row>
    <row r="120" spans="2:24" ht="16.5" customHeight="1">
      <c r="B120" s="24" t="s">
        <v>40</v>
      </c>
      <c r="C120" s="1">
        <f>250000*1+300000*1+25000</f>
        <v>575000</v>
      </c>
      <c r="D120" s="5"/>
      <c r="E120" s="5"/>
      <c r="F120" s="5"/>
      <c r="G120" s="24">
        <f>C120</f>
        <v>575000</v>
      </c>
      <c r="H120" s="80"/>
      <c r="K120" s="106" t="s">
        <v>326</v>
      </c>
      <c r="L120" s="106">
        <v>2000</v>
      </c>
      <c r="M120" s="158" t="s">
        <v>328</v>
      </c>
      <c r="N120" s="157"/>
      <c r="O120" s="157"/>
      <c r="P120" s="157"/>
    </row>
    <row r="121" spans="2:24">
      <c r="B121" s="26" t="s">
        <v>11</v>
      </c>
      <c r="C121" s="25"/>
      <c r="D121" s="25"/>
      <c r="E121" s="25"/>
      <c r="F121" s="95"/>
      <c r="G121" s="24">
        <f>SUM(G120:G120)</f>
        <v>575000</v>
      </c>
      <c r="H121" s="80"/>
      <c r="K121" s="106" t="s">
        <v>192</v>
      </c>
      <c r="L121" s="106">
        <v>1000</v>
      </c>
      <c r="M121" s="156" t="s">
        <v>271</v>
      </c>
      <c r="N121" s="181"/>
      <c r="O121" s="181"/>
      <c r="P121" s="181"/>
    </row>
    <row r="122" spans="2:24" ht="16.5" customHeight="1">
      <c r="H122" s="100"/>
      <c r="K122" s="107" t="s">
        <v>193</v>
      </c>
      <c r="L122" s="107">
        <f>SUM(L117:L121)</f>
        <v>4400</v>
      </c>
      <c r="M122" s="156" t="s">
        <v>272</v>
      </c>
      <c r="N122" s="181"/>
      <c r="O122" s="181"/>
      <c r="P122" s="181"/>
    </row>
    <row r="123" spans="2:24" ht="16.5" customHeight="1">
      <c r="B123" s="93" t="s">
        <v>41</v>
      </c>
      <c r="H123" s="104"/>
    </row>
    <row r="124" spans="2:24">
      <c r="B124" s="24" t="s">
        <v>4</v>
      </c>
      <c r="C124" s="123" t="s">
        <v>15</v>
      </c>
      <c r="D124" s="25"/>
      <c r="E124" s="25"/>
      <c r="F124" s="95"/>
      <c r="G124" s="24" t="s">
        <v>9</v>
      </c>
      <c r="H124" s="139" t="s">
        <v>253</v>
      </c>
    </row>
    <row r="125" spans="2:24">
      <c r="B125" s="159" t="s">
        <v>100</v>
      </c>
      <c r="C125" s="120" t="s">
        <v>235</v>
      </c>
      <c r="D125" s="16"/>
      <c r="E125" s="2">
        <v>20</v>
      </c>
      <c r="F125" s="24">
        <v>652000</v>
      </c>
      <c r="G125" s="24">
        <f>E125*F125</f>
        <v>13040000</v>
      </c>
      <c r="H125" s="165" t="s">
        <v>265</v>
      </c>
    </row>
    <row r="126" spans="2:24" ht="16.5" customHeight="1">
      <c r="B126" s="160"/>
      <c r="C126" s="120" t="s">
        <v>289</v>
      </c>
      <c r="D126" s="16"/>
      <c r="E126" s="2">
        <v>20</v>
      </c>
      <c r="F126" s="24">
        <v>140000</v>
      </c>
      <c r="G126" s="26">
        <f>E126*F126</f>
        <v>2800000</v>
      </c>
      <c r="H126" s="158"/>
    </row>
    <row r="127" spans="2:24">
      <c r="B127" s="160"/>
      <c r="C127" s="120" t="s">
        <v>235</v>
      </c>
      <c r="D127" s="16"/>
      <c r="E127" s="2">
        <v>10</v>
      </c>
      <c r="F127" s="24">
        <v>0</v>
      </c>
      <c r="G127" s="24">
        <f>E127*F127</f>
        <v>0</v>
      </c>
      <c r="H127" s="170" t="s">
        <v>264</v>
      </c>
    </row>
    <row r="128" spans="2:24">
      <c r="B128" s="161"/>
      <c r="C128" s="120" t="s">
        <v>249</v>
      </c>
      <c r="D128" s="16"/>
      <c r="E128" s="2">
        <v>10</v>
      </c>
      <c r="F128" s="24">
        <v>0</v>
      </c>
      <c r="G128" s="24">
        <f>E128*F128</f>
        <v>0</v>
      </c>
      <c r="H128" s="157"/>
    </row>
    <row r="129" spans="2:18">
      <c r="B129" s="159" t="s">
        <v>99</v>
      </c>
      <c r="C129" s="24" t="s">
        <v>216</v>
      </c>
      <c r="D129" s="16"/>
      <c r="E129" s="4">
        <v>1</v>
      </c>
      <c r="F129" s="2">
        <v>20000000</v>
      </c>
      <c r="G129" s="24">
        <f t="shared" ref="G129:G137" si="17">E129*F129</f>
        <v>20000000</v>
      </c>
      <c r="H129" s="157"/>
    </row>
    <row r="130" spans="2:18">
      <c r="B130" s="160"/>
      <c r="C130" s="125" t="s">
        <v>238</v>
      </c>
      <c r="D130" s="6"/>
      <c r="E130" s="4">
        <v>1</v>
      </c>
      <c r="F130" s="2">
        <v>2000000</v>
      </c>
      <c r="G130" s="24">
        <f>E130*F130</f>
        <v>2000000</v>
      </c>
      <c r="H130" s="165" t="s">
        <v>237</v>
      </c>
    </row>
    <row r="131" spans="2:18">
      <c r="B131" s="161"/>
      <c r="C131" s="24" t="s">
        <v>217</v>
      </c>
      <c r="D131" s="16"/>
      <c r="E131" s="4">
        <v>1</v>
      </c>
      <c r="F131" s="2">
        <v>10000000</v>
      </c>
      <c r="G131" s="24">
        <f t="shared" si="17"/>
        <v>10000000</v>
      </c>
      <c r="H131" s="165"/>
    </row>
    <row r="132" spans="2:18">
      <c r="B132" s="172" t="s">
        <v>321</v>
      </c>
      <c r="C132" s="25" t="s">
        <v>335</v>
      </c>
      <c r="D132" s="148"/>
      <c r="E132" s="5">
        <v>0</v>
      </c>
      <c r="F132" s="16">
        <f>128*4*1450</f>
        <v>742400</v>
      </c>
      <c r="G132" s="24">
        <f t="shared" si="17"/>
        <v>0</v>
      </c>
      <c r="H132" s="165"/>
    </row>
    <row r="133" spans="2:18">
      <c r="B133" s="158"/>
      <c r="C133" s="25" t="s">
        <v>337</v>
      </c>
      <c r="D133" s="148"/>
      <c r="E133" s="5">
        <v>0</v>
      </c>
      <c r="F133" s="16">
        <v>500000</v>
      </c>
      <c r="G133" s="24">
        <f t="shared" si="17"/>
        <v>0</v>
      </c>
      <c r="H133" s="165"/>
    </row>
    <row r="134" spans="2:18">
      <c r="B134" s="158"/>
      <c r="C134" s="25" t="s">
        <v>336</v>
      </c>
      <c r="D134" s="148"/>
      <c r="E134" s="5">
        <v>0</v>
      </c>
      <c r="F134" s="16">
        <v>14000000</v>
      </c>
      <c r="G134" s="24">
        <f t="shared" si="17"/>
        <v>0</v>
      </c>
      <c r="H134" s="165"/>
    </row>
    <row r="135" spans="2:18">
      <c r="B135" s="158"/>
      <c r="C135" s="25" t="s">
        <v>333</v>
      </c>
      <c r="D135" s="148"/>
      <c r="E135" s="5">
        <v>20</v>
      </c>
      <c r="F135" s="16">
        <v>4000000</v>
      </c>
      <c r="G135" s="24">
        <f t="shared" si="17"/>
        <v>80000000</v>
      </c>
      <c r="H135" s="165"/>
    </row>
    <row r="136" spans="2:18">
      <c r="B136" s="158"/>
      <c r="C136" s="25" t="s">
        <v>334</v>
      </c>
      <c r="D136" s="148"/>
      <c r="E136" s="5">
        <v>20</v>
      </c>
      <c r="F136" s="16">
        <f>128*1450*4</f>
        <v>742400</v>
      </c>
      <c r="G136" s="24">
        <f t="shared" si="17"/>
        <v>14848000</v>
      </c>
      <c r="H136" s="165"/>
    </row>
    <row r="137" spans="2:18">
      <c r="B137" s="173"/>
      <c r="C137" s="25" t="s">
        <v>323</v>
      </c>
      <c r="D137" s="148"/>
      <c r="E137" s="5">
        <v>0</v>
      </c>
      <c r="F137" s="16">
        <f>400*1400</f>
        <v>560000</v>
      </c>
      <c r="G137" s="24">
        <f t="shared" si="17"/>
        <v>0</v>
      </c>
      <c r="H137" s="165"/>
    </row>
    <row r="138" spans="2:18">
      <c r="B138" s="124"/>
      <c r="C138" s="25" t="s">
        <v>322</v>
      </c>
      <c r="D138" s="148"/>
      <c r="E138" s="5">
        <v>0</v>
      </c>
      <c r="F138" s="16">
        <v>4000000</v>
      </c>
      <c r="G138" s="24">
        <f t="shared" ref="G138" si="18">E138*F138</f>
        <v>0</v>
      </c>
      <c r="H138" s="165"/>
    </row>
    <row r="139" spans="2:18">
      <c r="B139" s="26" t="s">
        <v>11</v>
      </c>
      <c r="C139" s="25"/>
      <c r="D139" s="25"/>
      <c r="E139" s="25"/>
      <c r="F139" s="95"/>
      <c r="G139" s="24">
        <f>SUM(G125:G138)</f>
        <v>142688000</v>
      </c>
      <c r="H139" s="165"/>
    </row>
    <row r="141" spans="2:18">
      <c r="B141" s="93" t="s">
        <v>42</v>
      </c>
    </row>
    <row r="142" spans="2:18">
      <c r="B142" s="24" t="s">
        <v>4</v>
      </c>
      <c r="C142" s="26" t="s">
        <v>15</v>
      </c>
      <c r="D142" s="25"/>
      <c r="E142" s="25"/>
      <c r="F142" s="95"/>
      <c r="G142" s="24" t="s">
        <v>9</v>
      </c>
    </row>
    <row r="143" spans="2:18">
      <c r="B143" s="159" t="s">
        <v>85</v>
      </c>
      <c r="C143" s="24" t="s">
        <v>82</v>
      </c>
      <c r="D143" s="4"/>
      <c r="E143" s="2">
        <v>500000</v>
      </c>
      <c r="F143" s="24">
        <v>1</v>
      </c>
      <c r="G143" s="24">
        <f>E143*F143</f>
        <v>500000</v>
      </c>
    </row>
    <row r="144" spans="2:18">
      <c r="B144" s="160"/>
      <c r="C144" s="24" t="s">
        <v>83</v>
      </c>
      <c r="D144" s="4"/>
      <c r="E144" s="2">
        <v>50000</v>
      </c>
      <c r="F144" s="24">
        <v>1</v>
      </c>
      <c r="G144" s="24">
        <f t="shared" ref="G144:G145" si="19">E144*F144</f>
        <v>50000</v>
      </c>
      <c r="R144" s="3"/>
    </row>
    <row r="145" spans="2:19">
      <c r="B145" s="161"/>
      <c r="C145" s="142" t="s">
        <v>84</v>
      </c>
      <c r="D145" s="143"/>
      <c r="E145" s="144">
        <v>0</v>
      </c>
      <c r="F145" s="142">
        <v>1</v>
      </c>
      <c r="G145" s="142">
        <f t="shared" si="19"/>
        <v>0</v>
      </c>
    </row>
    <row r="146" spans="2:19">
      <c r="B146" s="26" t="s">
        <v>11</v>
      </c>
      <c r="C146" s="25"/>
      <c r="D146" s="25"/>
      <c r="E146" s="25"/>
      <c r="F146" s="95"/>
      <c r="G146" s="24">
        <f>SUM(G143:G145)</f>
        <v>550000</v>
      </c>
    </row>
    <row r="148" spans="2:19">
      <c r="B148" s="93" t="s">
        <v>43</v>
      </c>
    </row>
    <row r="149" spans="2:19">
      <c r="B149" s="24" t="s">
        <v>4</v>
      </c>
      <c r="C149" s="26" t="s">
        <v>15</v>
      </c>
      <c r="D149" s="25"/>
      <c r="E149" s="25"/>
      <c r="F149" s="95"/>
      <c r="G149" s="24" t="s">
        <v>9</v>
      </c>
    </row>
    <row r="150" spans="2:19">
      <c r="B150" s="24" t="s">
        <v>43</v>
      </c>
      <c r="C150" s="1">
        <v>30000</v>
      </c>
      <c r="D150" s="5"/>
      <c r="E150" s="5"/>
      <c r="F150" s="95">
        <v>5</v>
      </c>
      <c r="G150" s="24">
        <f>C150*F150</f>
        <v>150000</v>
      </c>
      <c r="R150" s="17"/>
    </row>
    <row r="151" spans="2:19">
      <c r="B151" s="26" t="s">
        <v>11</v>
      </c>
      <c r="C151" s="25"/>
      <c r="D151" s="25"/>
      <c r="E151" s="25"/>
      <c r="F151" s="95"/>
      <c r="G151" s="24">
        <f>G150</f>
        <v>150000</v>
      </c>
      <c r="R151" s="17"/>
    </row>
    <row r="152" spans="2:19">
      <c r="R152" s="17"/>
    </row>
    <row r="153" spans="2:19">
      <c r="B153" s="93" t="s">
        <v>44</v>
      </c>
      <c r="R153" s="17"/>
    </row>
    <row r="154" spans="2:19">
      <c r="B154" s="24" t="s">
        <v>4</v>
      </c>
      <c r="C154" s="26" t="s">
        <v>15</v>
      </c>
      <c r="D154" s="25"/>
      <c r="E154" s="25"/>
      <c r="F154" s="95"/>
      <c r="G154" s="24" t="s">
        <v>9</v>
      </c>
      <c r="R154" s="17"/>
    </row>
    <row r="155" spans="2:19">
      <c r="B155" s="24" t="s">
        <v>78</v>
      </c>
      <c r="C155" s="24" t="s">
        <v>279</v>
      </c>
      <c r="D155" s="4"/>
      <c r="E155" s="4">
        <v>180</v>
      </c>
      <c r="F155" s="24">
        <v>5000</v>
      </c>
      <c r="G155" s="24">
        <f>E155*F155</f>
        <v>900000</v>
      </c>
      <c r="H155" s="94"/>
      <c r="R155" s="17"/>
    </row>
    <row r="156" spans="2:19">
      <c r="B156" s="24" t="s">
        <v>79</v>
      </c>
      <c r="C156" s="24" t="s">
        <v>102</v>
      </c>
      <c r="D156" s="4"/>
      <c r="E156" s="4">
        <v>2</v>
      </c>
      <c r="F156" s="24">
        <v>50000</v>
      </c>
      <c r="G156" s="24">
        <f t="shared" ref="G156" si="20">E156*F156</f>
        <v>100000</v>
      </c>
      <c r="R156" s="3"/>
    </row>
    <row r="157" spans="2:19">
      <c r="B157" s="24" t="s">
        <v>80</v>
      </c>
      <c r="C157" s="24" t="s">
        <v>94</v>
      </c>
      <c r="D157" s="4"/>
      <c r="E157" s="4">
        <v>81</v>
      </c>
      <c r="F157" s="24">
        <v>109000</v>
      </c>
      <c r="G157" s="24">
        <f t="shared" ref="G157:G158" si="21">E157*F157</f>
        <v>8829000</v>
      </c>
      <c r="R157" s="3"/>
    </row>
    <row r="158" spans="2:19">
      <c r="B158" s="24" t="s">
        <v>81</v>
      </c>
      <c r="C158" s="24" t="s">
        <v>117</v>
      </c>
      <c r="D158" s="4"/>
      <c r="E158" s="4">
        <v>25</v>
      </c>
      <c r="F158" s="24">
        <v>30000</v>
      </c>
      <c r="G158" s="24">
        <f t="shared" si="21"/>
        <v>750000</v>
      </c>
      <c r="H158" s="139" t="s">
        <v>119</v>
      </c>
      <c r="K158" s="94" t="s">
        <v>202</v>
      </c>
      <c r="L158" s="182" t="s">
        <v>260</v>
      </c>
      <c r="M158" s="182"/>
      <c r="N158" s="182"/>
      <c r="R158" s="3"/>
    </row>
    <row r="159" spans="2:19">
      <c r="B159" s="26" t="s">
        <v>11</v>
      </c>
      <c r="C159" s="25"/>
      <c r="D159" s="25"/>
      <c r="E159" s="25"/>
      <c r="F159" s="95"/>
      <c r="G159" s="24">
        <f>SUM(G155:G158)</f>
        <v>10579000</v>
      </c>
      <c r="K159" s="94" t="s">
        <v>203</v>
      </c>
      <c r="L159" s="182"/>
      <c r="M159" s="182"/>
      <c r="N159" s="182"/>
    </row>
    <row r="160" spans="2:19">
      <c r="S160" s="3"/>
    </row>
    <row r="161" spans="2:19">
      <c r="B161" s="93" t="s">
        <v>45</v>
      </c>
      <c r="S161" s="3"/>
    </row>
    <row r="162" spans="2:19">
      <c r="B162" s="24" t="s">
        <v>4</v>
      </c>
      <c r="C162" s="26" t="s">
        <v>15</v>
      </c>
      <c r="D162" s="25"/>
      <c r="E162" s="25"/>
      <c r="F162" s="95"/>
      <c r="G162" s="24" t="s">
        <v>9</v>
      </c>
      <c r="S162" s="3"/>
    </row>
    <row r="163" spans="2:19">
      <c r="B163" s="24"/>
      <c r="C163" s="4" t="s">
        <v>86</v>
      </c>
      <c r="D163" s="4"/>
      <c r="E163" s="4">
        <v>2</v>
      </c>
      <c r="F163" s="24">
        <v>5000</v>
      </c>
      <c r="G163" s="24">
        <f>E163*F163</f>
        <v>10000</v>
      </c>
      <c r="S163" s="3"/>
    </row>
    <row r="164" spans="2:19">
      <c r="B164" s="24"/>
      <c r="C164" s="4" t="s">
        <v>87</v>
      </c>
      <c r="D164" s="4"/>
      <c r="E164" s="4">
        <v>1</v>
      </c>
      <c r="F164" s="24">
        <v>2043000</v>
      </c>
      <c r="G164" s="24">
        <f>E164*F164</f>
        <v>2043000</v>
      </c>
      <c r="S164" s="3"/>
    </row>
    <row r="165" spans="2:19">
      <c r="B165" s="26" t="s">
        <v>11</v>
      </c>
      <c r="C165" s="25"/>
      <c r="D165" s="25"/>
      <c r="E165" s="25"/>
      <c r="F165" s="95"/>
      <c r="G165" s="24">
        <f>SUM(G163:G164)</f>
        <v>2053000</v>
      </c>
    </row>
    <row r="167" spans="2:19">
      <c r="B167" s="93" t="s">
        <v>46</v>
      </c>
    </row>
    <row r="168" spans="2:19">
      <c r="B168" s="24" t="s">
        <v>4</v>
      </c>
      <c r="C168" s="26" t="s">
        <v>15</v>
      </c>
      <c r="D168" s="25"/>
      <c r="E168" s="25"/>
      <c r="F168" s="95"/>
      <c r="G168" s="24" t="s">
        <v>9</v>
      </c>
      <c r="S168" s="3"/>
    </row>
    <row r="169" spans="2:19">
      <c r="B169" s="24" t="s">
        <v>91</v>
      </c>
      <c r="C169" s="24" t="s">
        <v>312</v>
      </c>
      <c r="D169" s="4"/>
      <c r="E169" s="24">
        <v>81</v>
      </c>
      <c r="F169" s="24">
        <v>30000</v>
      </c>
      <c r="G169" s="24">
        <f>E169*F169+1000000</f>
        <v>3430000</v>
      </c>
    </row>
    <row r="170" spans="2:19">
      <c r="B170" s="23" t="s">
        <v>92</v>
      </c>
      <c r="C170" s="24" t="s">
        <v>275</v>
      </c>
      <c r="D170" s="24"/>
      <c r="E170" s="24">
        <v>0</v>
      </c>
      <c r="F170" s="24">
        <v>25900</v>
      </c>
      <c r="G170" s="24">
        <f>E170*F170</f>
        <v>0</v>
      </c>
      <c r="H170" s="94" t="s">
        <v>276</v>
      </c>
    </row>
    <row r="171" spans="2:19">
      <c r="B171" s="26" t="s">
        <v>11</v>
      </c>
      <c r="C171" s="25"/>
      <c r="D171" s="25"/>
      <c r="E171" s="25"/>
      <c r="F171" s="95"/>
      <c r="G171" s="24">
        <f>SUM(G169:G170)</f>
        <v>3430000</v>
      </c>
      <c r="H171" s="94" t="s">
        <v>278</v>
      </c>
    </row>
    <row r="173" spans="2:19">
      <c r="B173" s="93" t="s">
        <v>76</v>
      </c>
    </row>
    <row r="174" spans="2:19">
      <c r="B174" s="24" t="s">
        <v>4</v>
      </c>
      <c r="C174" s="1" t="s">
        <v>15</v>
      </c>
      <c r="D174" s="5"/>
      <c r="E174" s="5"/>
      <c r="F174" s="5"/>
      <c r="G174" s="24" t="s">
        <v>9</v>
      </c>
    </row>
    <row r="175" spans="2:19">
      <c r="B175" s="24" t="s">
        <v>115</v>
      </c>
      <c r="C175" s="2">
        <f>R93</f>
        <v>230000000</v>
      </c>
      <c r="D175" s="4"/>
      <c r="E175" s="4"/>
      <c r="F175" s="4"/>
      <c r="G175" s="24">
        <f>C175</f>
        <v>230000000</v>
      </c>
      <c r="H175" s="93" t="s">
        <v>268</v>
      </c>
    </row>
    <row r="176" spans="2:19" ht="17.25" customHeight="1">
      <c r="B176" s="24" t="s">
        <v>116</v>
      </c>
      <c r="C176" s="2">
        <f>R94</f>
        <v>265652200</v>
      </c>
      <c r="D176" s="4"/>
      <c r="E176" s="4"/>
      <c r="F176" s="4"/>
      <c r="G176" s="24">
        <f>C176</f>
        <v>265652200</v>
      </c>
      <c r="H176" s="93" t="s">
        <v>269</v>
      </c>
    </row>
    <row r="177" spans="1:16">
      <c r="B177" s="26" t="s">
        <v>98</v>
      </c>
      <c r="C177" s="148">
        <v>12743000</v>
      </c>
      <c r="D177" s="5"/>
      <c r="E177" s="5"/>
      <c r="F177" s="6"/>
      <c r="G177" s="24">
        <f>C177</f>
        <v>12743000</v>
      </c>
      <c r="H177" s="75" t="s">
        <v>101</v>
      </c>
    </row>
    <row r="178" spans="1:16">
      <c r="B178" s="26" t="s">
        <v>11</v>
      </c>
      <c r="C178" s="25"/>
      <c r="D178" s="25"/>
      <c r="E178" s="25"/>
      <c r="F178" s="95"/>
      <c r="G178" s="24">
        <f>SUM(G175:G177)</f>
        <v>508395200</v>
      </c>
    </row>
    <row r="179" spans="1:16" ht="15.75" customHeight="1"/>
    <row r="180" spans="1:16" ht="18" customHeight="1">
      <c r="B180" s="93" t="s">
        <v>47</v>
      </c>
    </row>
    <row r="181" spans="1:16" ht="17.25" customHeight="1">
      <c r="B181" s="24" t="s">
        <v>4</v>
      </c>
      <c r="C181" s="26" t="s">
        <v>15</v>
      </c>
      <c r="D181" s="25"/>
      <c r="E181" s="25"/>
      <c r="F181" s="95"/>
      <c r="G181" s="24" t="s">
        <v>9</v>
      </c>
    </row>
    <row r="182" spans="1:16">
      <c r="A182" s="94"/>
      <c r="B182" s="24" t="s">
        <v>300</v>
      </c>
      <c r="C182" s="25" t="s">
        <v>302</v>
      </c>
      <c r="D182" s="24"/>
      <c r="E182" s="24">
        <v>3</v>
      </c>
      <c r="F182" s="24">
        <v>600000</v>
      </c>
      <c r="G182" s="24">
        <f>E182*F182</f>
        <v>1800000</v>
      </c>
      <c r="H182" s="94">
        <v>0</v>
      </c>
    </row>
    <row r="183" spans="1:16">
      <c r="A183" s="94"/>
      <c r="B183" s="24" t="s">
        <v>301</v>
      </c>
      <c r="C183" s="25" t="s">
        <v>303</v>
      </c>
      <c r="D183" s="24"/>
      <c r="E183" s="24">
        <v>3</v>
      </c>
      <c r="F183" s="24">
        <v>450000</v>
      </c>
      <c r="G183" s="24">
        <f>E183*F183</f>
        <v>1350000</v>
      </c>
      <c r="H183" s="94"/>
    </row>
    <row r="184" spans="1:16">
      <c r="B184" s="24" t="s">
        <v>93</v>
      </c>
      <c r="C184" s="24" t="s">
        <v>95</v>
      </c>
      <c r="D184" s="24"/>
      <c r="E184" s="24">
        <v>1</v>
      </c>
      <c r="F184" s="24">
        <v>3780000</v>
      </c>
      <c r="G184" s="24">
        <f>E184*F184</f>
        <v>3780000</v>
      </c>
      <c r="H184" s="75" t="s">
        <v>96</v>
      </c>
    </row>
    <row r="185" spans="1:16">
      <c r="B185" s="24" t="s">
        <v>11</v>
      </c>
      <c r="C185" s="24"/>
      <c r="D185" s="24"/>
      <c r="E185" s="24"/>
      <c r="F185" s="24"/>
      <c r="G185" s="24">
        <f>SUM(G182:G184)</f>
        <v>6930000</v>
      </c>
    </row>
    <row r="186" spans="1:16">
      <c r="B186" s="3"/>
      <c r="C186" s="3"/>
      <c r="D186" s="3"/>
      <c r="E186" s="3"/>
      <c r="F186" s="3"/>
    </row>
    <row r="188" spans="1:16">
      <c r="A188" s="93">
        <v>2</v>
      </c>
      <c r="B188" s="93" t="s">
        <v>48</v>
      </c>
      <c r="C188" s="93">
        <f>C2*0.05</f>
        <v>155000000</v>
      </c>
    </row>
    <row r="190" spans="1:16">
      <c r="J190" s="3"/>
    </row>
    <row r="192" spans="1:16">
      <c r="J192" s="182" t="s">
        <v>261</v>
      </c>
      <c r="K192" s="183"/>
      <c r="L192" s="183"/>
      <c r="M192" s="183"/>
      <c r="N192" s="183"/>
      <c r="O192" s="183"/>
      <c r="P192" s="183"/>
    </row>
    <row r="193" spans="2:16">
      <c r="J193" s="183"/>
      <c r="K193" s="183"/>
      <c r="L193" s="183"/>
      <c r="M193" s="183"/>
      <c r="N193" s="183"/>
      <c r="O193" s="183"/>
      <c r="P193" s="183"/>
    </row>
    <row r="197" spans="2:16">
      <c r="K197" s="3"/>
      <c r="L197" s="3"/>
    </row>
    <row r="198" spans="2:16">
      <c r="I198" s="3"/>
    </row>
    <row r="199" spans="2:16">
      <c r="H199" s="3"/>
    </row>
    <row r="201" spans="2:16">
      <c r="C201" s="3"/>
      <c r="D201" s="3"/>
      <c r="E201" s="3"/>
      <c r="F201" s="3"/>
    </row>
    <row r="204" spans="2:16">
      <c r="B204" s="3"/>
      <c r="C204" s="3"/>
      <c r="D204" s="3"/>
      <c r="E204" s="3"/>
      <c r="F204" s="3"/>
    </row>
    <row r="249" spans="22:22">
      <c r="V249" s="3"/>
    </row>
    <row r="255" spans="22:22" ht="18.75" customHeight="1"/>
  </sheetData>
  <mergeCells count="72">
    <mergeCell ref="B61:B64"/>
    <mergeCell ref="L158:N159"/>
    <mergeCell ref="J192:P193"/>
    <mergeCell ref="N109:N110"/>
    <mergeCell ref="O108:O110"/>
    <mergeCell ref="K103:O103"/>
    <mergeCell ref="M122:P122"/>
    <mergeCell ref="K109:K110"/>
    <mergeCell ref="N107:N108"/>
    <mergeCell ref="M121:P121"/>
    <mergeCell ref="M117:P117"/>
    <mergeCell ref="M120:P120"/>
    <mergeCell ref="H130:H139"/>
    <mergeCell ref="H110:H111"/>
    <mergeCell ref="H125:H126"/>
    <mergeCell ref="K107:K108"/>
    <mergeCell ref="R72:R73"/>
    <mergeCell ref="W68:Y68"/>
    <mergeCell ref="W69:Y69"/>
    <mergeCell ref="B7:B11"/>
    <mergeCell ref="K87:O87"/>
    <mergeCell ref="B71:B72"/>
    <mergeCell ref="H72:H73"/>
    <mergeCell ref="Q72:Q73"/>
    <mergeCell ref="K81:O81"/>
    <mergeCell ref="H63:H64"/>
    <mergeCell ref="K78:K80"/>
    <mergeCell ref="K66:K67"/>
    <mergeCell ref="K74:O74"/>
    <mergeCell ref="B17:F17"/>
    <mergeCell ref="C45:F45"/>
    <mergeCell ref="C54:F54"/>
    <mergeCell ref="A1:H1"/>
    <mergeCell ref="C11:F11"/>
    <mergeCell ref="B12:F12"/>
    <mergeCell ref="C15:F15"/>
    <mergeCell ref="K47:O47"/>
    <mergeCell ref="K26:O26"/>
    <mergeCell ref="K34:O34"/>
    <mergeCell ref="K41:O41"/>
    <mergeCell ref="J1:Q1"/>
    <mergeCell ref="H28:H29"/>
    <mergeCell ref="L11:O11"/>
    <mergeCell ref="H21:H22"/>
    <mergeCell ref="H30:H31"/>
    <mergeCell ref="H32:H44"/>
    <mergeCell ref="K7:K11"/>
    <mergeCell ref="K116:L116"/>
    <mergeCell ref="H127:H129"/>
    <mergeCell ref="B143:B145"/>
    <mergeCell ref="B84:B87"/>
    <mergeCell ref="B97:B98"/>
    <mergeCell ref="B125:B128"/>
    <mergeCell ref="B129:B131"/>
    <mergeCell ref="B108:B115"/>
    <mergeCell ref="B132:B137"/>
    <mergeCell ref="M118:P118"/>
    <mergeCell ref="M119:P119"/>
    <mergeCell ref="B21:B45"/>
    <mergeCell ref="H24:H25"/>
    <mergeCell ref="K13:O13"/>
    <mergeCell ref="K62:O62"/>
    <mergeCell ref="K68:O68"/>
    <mergeCell ref="H112:H113"/>
    <mergeCell ref="H114:H115"/>
    <mergeCell ref="B46:B54"/>
    <mergeCell ref="K58:K61"/>
    <mergeCell ref="H97:H98"/>
    <mergeCell ref="K54:O54"/>
    <mergeCell ref="H61:H62"/>
    <mergeCell ref="H50:H51"/>
    <mergeCell ref="B55:F5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C9B5-164B-4A7F-BB99-BC7C0D95B285}">
  <dimension ref="A1:O37"/>
  <sheetViews>
    <sheetView workbookViewId="0">
      <selection activeCell="G6" sqref="G6:H15"/>
    </sheetView>
  </sheetViews>
  <sheetFormatPr defaultRowHeight="16.5"/>
  <cols>
    <col min="1" max="2" width="11.5" customWidth="1"/>
    <col min="3" max="4" width="12.875" customWidth="1"/>
    <col min="5" max="6" width="11.5" customWidth="1"/>
    <col min="7" max="8" width="13.75" customWidth="1"/>
    <col min="9" max="10" width="11.5" customWidth="1"/>
    <col min="13" max="13" width="25.25" customWidth="1"/>
  </cols>
  <sheetData>
    <row r="1" spans="1:15" ht="18.75" customHeight="1" thickBot="1">
      <c r="A1" s="187" t="s">
        <v>120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5" ht="17.25" customHeight="1" thickTop="1">
      <c r="A2" s="188" t="s">
        <v>121</v>
      </c>
      <c r="B2" s="152" t="s">
        <v>122</v>
      </c>
      <c r="C2" s="153"/>
      <c r="D2" s="153"/>
      <c r="E2" s="153"/>
      <c r="F2" s="153"/>
      <c r="G2" s="199" t="s">
        <v>122</v>
      </c>
      <c r="H2" s="70" t="s">
        <v>123</v>
      </c>
      <c r="I2" s="191" t="s">
        <v>126</v>
      </c>
      <c r="J2" s="192"/>
      <c r="K2" s="193"/>
      <c r="M2" s="81"/>
    </row>
    <row r="3" spans="1:15">
      <c r="A3" s="189"/>
      <c r="B3" s="154"/>
      <c r="C3" s="155"/>
      <c r="D3" s="155"/>
      <c r="E3" s="155"/>
      <c r="F3" s="155"/>
      <c r="G3" s="200"/>
      <c r="H3" s="43" t="s">
        <v>124</v>
      </c>
      <c r="I3" s="194"/>
      <c r="J3" s="195"/>
      <c r="K3" s="196"/>
      <c r="M3" s="185" t="s">
        <v>204</v>
      </c>
    </row>
    <row r="4" spans="1:15">
      <c r="A4" s="189"/>
      <c r="B4" s="61" t="s">
        <v>127</v>
      </c>
      <c r="C4" s="197" t="s">
        <v>141</v>
      </c>
      <c r="D4" s="45" t="s">
        <v>129</v>
      </c>
      <c r="E4" s="197" t="s">
        <v>141</v>
      </c>
      <c r="F4" s="45" t="s">
        <v>131</v>
      </c>
      <c r="G4" s="45" t="s">
        <v>133</v>
      </c>
      <c r="H4" s="43" t="s">
        <v>125</v>
      </c>
      <c r="I4" s="46" t="s">
        <v>135</v>
      </c>
      <c r="J4" s="46" t="s">
        <v>137</v>
      </c>
      <c r="K4" s="48" t="s">
        <v>139</v>
      </c>
      <c r="M4" s="186"/>
    </row>
    <row r="5" spans="1:15" ht="31.5">
      <c r="A5" s="190"/>
      <c r="B5" s="62" t="s">
        <v>128</v>
      </c>
      <c r="C5" s="198"/>
      <c r="D5" s="44" t="s">
        <v>130</v>
      </c>
      <c r="E5" s="198"/>
      <c r="F5" s="44" t="s">
        <v>132</v>
      </c>
      <c r="G5" s="44" t="s">
        <v>134</v>
      </c>
      <c r="H5" s="60"/>
      <c r="I5" s="47" t="s">
        <v>136</v>
      </c>
      <c r="J5" s="47" t="s">
        <v>138</v>
      </c>
      <c r="K5" s="49" t="s">
        <v>140</v>
      </c>
      <c r="M5" s="186"/>
    </row>
    <row r="6" spans="1:15">
      <c r="A6" s="63" t="s">
        <v>142</v>
      </c>
      <c r="B6" s="27">
        <v>4142</v>
      </c>
      <c r="C6" s="28">
        <v>1169.9000000000001</v>
      </c>
      <c r="D6" s="28">
        <v>3808.79</v>
      </c>
      <c r="E6" s="29">
        <v>485.69</v>
      </c>
      <c r="F6" s="136">
        <f>'3차년도'!C3/1000000</f>
        <v>2945</v>
      </c>
      <c r="G6" s="136">
        <f>'3차년도'!C3/1000000</f>
        <v>2945</v>
      </c>
      <c r="H6" s="126">
        <f t="shared" ref="H6:H11" si="0">(SUM(B6,D6,F6,G6) / $C$17)*100</f>
        <v>97.823530881861032</v>
      </c>
      <c r="I6" s="50"/>
      <c r="J6" s="82" t="s">
        <v>205</v>
      </c>
      <c r="K6" s="51"/>
      <c r="M6" s="186"/>
    </row>
    <row r="7" spans="1:15" ht="16.5" customHeight="1">
      <c r="A7" s="64" t="s">
        <v>143</v>
      </c>
      <c r="B7" s="30">
        <v>223.5</v>
      </c>
      <c r="C7" s="30">
        <v>44.9</v>
      </c>
      <c r="D7" s="30">
        <v>209.73</v>
      </c>
      <c r="E7" s="30">
        <v>4.03</v>
      </c>
      <c r="F7" s="137">
        <f>'3차년도'!G5/1000000</f>
        <v>245.64859999999999</v>
      </c>
      <c r="G7" s="136">
        <f>'3차년도'!G5/1000000</f>
        <v>245.64859999999999</v>
      </c>
      <c r="H7" s="126">
        <f t="shared" si="0"/>
        <v>6.5343463126252557</v>
      </c>
      <c r="I7" s="31"/>
      <c r="J7" s="82" t="s">
        <v>205</v>
      </c>
      <c r="K7" s="52"/>
      <c r="M7" s="186"/>
    </row>
    <row r="8" spans="1:15">
      <c r="A8" s="64" t="s">
        <v>144</v>
      </c>
      <c r="B8" s="30">
        <v>210.8</v>
      </c>
      <c r="C8" s="30">
        <v>0</v>
      </c>
      <c r="D8" s="30">
        <v>248.2</v>
      </c>
      <c r="E8" s="30">
        <v>0</v>
      </c>
      <c r="F8" s="137">
        <f>'3차년도'!G19/1000000</f>
        <v>186.6</v>
      </c>
      <c r="G8" s="136">
        <f>'3차년도'!G19/1000000</f>
        <v>186.6</v>
      </c>
      <c r="H8" s="126">
        <f t="shared" si="0"/>
        <v>5.8817988279487476</v>
      </c>
      <c r="I8" s="31"/>
      <c r="J8" s="82" t="s">
        <v>205</v>
      </c>
      <c r="K8" s="52"/>
    </row>
    <row r="9" spans="1:15" ht="31.5">
      <c r="A9" s="64" t="s">
        <v>145</v>
      </c>
      <c r="B9" s="32">
        <v>2134.71</v>
      </c>
      <c r="C9" s="30">
        <v>329</v>
      </c>
      <c r="D9" s="32">
        <v>2611.8000000000002</v>
      </c>
      <c r="E9" s="30">
        <v>282.39999999999998</v>
      </c>
      <c r="F9" s="137">
        <f>'3차년도'!G57/1000000</f>
        <v>0</v>
      </c>
      <c r="G9" s="136">
        <f>'3차년도'!H3/1000000</f>
        <v>418.0172</v>
      </c>
      <c r="H9" s="126">
        <f t="shared" si="0"/>
        <v>36.501694342549186</v>
      </c>
      <c r="I9" s="31"/>
      <c r="J9" s="82" t="s">
        <v>205</v>
      </c>
      <c r="K9" s="52"/>
    </row>
    <row r="10" spans="1:15" ht="31.5" customHeight="1">
      <c r="A10" s="64" t="s">
        <v>146</v>
      </c>
      <c r="B10" s="30">
        <v>168.86</v>
      </c>
      <c r="C10" s="30">
        <v>21.5</v>
      </c>
      <c r="D10" s="30">
        <v>19.190000000000001</v>
      </c>
      <c r="E10" s="30">
        <v>1.1399999999999999</v>
      </c>
      <c r="F10" s="137">
        <f>'3차년도'!G80/1000000</f>
        <v>100</v>
      </c>
      <c r="G10" s="136">
        <f>'3차년도'!G80/1000000</f>
        <v>100</v>
      </c>
      <c r="H10" s="126">
        <f t="shared" si="0"/>
        <v>2.7426484441065986</v>
      </c>
      <c r="I10" s="31"/>
      <c r="J10" s="82" t="s">
        <v>205</v>
      </c>
      <c r="K10" s="52"/>
      <c r="O10" s="30">
        <v>4.91</v>
      </c>
    </row>
    <row r="11" spans="1:15" ht="31.5" customHeight="1">
      <c r="A11" s="64" t="s">
        <v>147</v>
      </c>
      <c r="B11" s="33">
        <v>1404.13</v>
      </c>
      <c r="C11" s="34">
        <v>774.5</v>
      </c>
      <c r="D11" s="34">
        <v>719.87</v>
      </c>
      <c r="E11" s="34">
        <v>198.12</v>
      </c>
      <c r="F11" s="138">
        <f>'3차년도'!G94/1000000</f>
        <v>1994.7342000000001</v>
      </c>
      <c r="G11" s="136">
        <f>'3차년도'!G94/1000000</f>
        <v>1994.7342000000001</v>
      </c>
      <c r="H11" s="126">
        <f t="shared" si="0"/>
        <v>43.208593210552394</v>
      </c>
      <c r="I11" s="35"/>
      <c r="J11" s="82" t="s">
        <v>205</v>
      </c>
      <c r="K11" s="53"/>
      <c r="O11" s="30">
        <v>6.48</v>
      </c>
    </row>
    <row r="12" spans="1:15">
      <c r="A12" s="65" t="s">
        <v>139</v>
      </c>
      <c r="B12" s="36">
        <v>4142</v>
      </c>
      <c r="C12" s="37">
        <v>1169.9000000000001</v>
      </c>
      <c r="D12" s="37">
        <f>SUM(D7:D11)</f>
        <v>3808.79</v>
      </c>
      <c r="E12" s="38">
        <f>SUM(E7:E11)</f>
        <v>485.68999999999994</v>
      </c>
      <c r="F12" s="131">
        <f>SUM(F7:F11)</f>
        <v>2526.9828000000002</v>
      </c>
      <c r="G12" s="131">
        <f>SUM(G7:G11)</f>
        <v>2945</v>
      </c>
      <c r="H12" s="127">
        <f>SUM(H7:H11)</f>
        <v>94.869081137782189</v>
      </c>
      <c r="I12" s="54"/>
      <c r="J12" s="83" t="s">
        <v>205</v>
      </c>
      <c r="K12" s="55"/>
      <c r="O12" s="30">
        <v>49.97</v>
      </c>
    </row>
    <row r="13" spans="1:15">
      <c r="A13" s="63" t="s">
        <v>148</v>
      </c>
      <c r="B13" s="39">
        <v>218</v>
      </c>
      <c r="C13" s="39">
        <v>0</v>
      </c>
      <c r="D13" s="39">
        <v>200.46</v>
      </c>
      <c r="E13" s="39">
        <v>0</v>
      </c>
      <c r="F13" s="129">
        <v>152.5</v>
      </c>
      <c r="G13" s="136">
        <f>'3차년도'!C188/1000000</f>
        <v>155</v>
      </c>
      <c r="H13" s="126">
        <f>(SUM(B13,D13,F13,G13) / $C$17)*100</f>
        <v>5.1309188622178237</v>
      </c>
      <c r="I13" s="56"/>
      <c r="J13" s="84" t="s">
        <v>205</v>
      </c>
      <c r="K13" s="57"/>
      <c r="O13" s="30">
        <v>3.06</v>
      </c>
    </row>
    <row r="14" spans="1:15">
      <c r="A14" s="65" t="s">
        <v>139</v>
      </c>
      <c r="B14" s="38">
        <v>218</v>
      </c>
      <c r="C14" s="38">
        <v>0</v>
      </c>
      <c r="D14" s="38">
        <v>200.46</v>
      </c>
      <c r="E14" s="38">
        <v>0</v>
      </c>
      <c r="F14" s="131">
        <v>152.5</v>
      </c>
      <c r="G14" s="132">
        <f>G13</f>
        <v>155</v>
      </c>
      <c r="H14" s="127">
        <f>SUM(H13)</f>
        <v>5.1309188622178237</v>
      </c>
      <c r="I14" s="54"/>
      <c r="J14" s="83" t="s">
        <v>205</v>
      </c>
      <c r="K14" s="55"/>
      <c r="O14" s="34">
        <v>30.58</v>
      </c>
    </row>
    <row r="15" spans="1:15" ht="17.25" thickBot="1">
      <c r="A15" s="66" t="s">
        <v>149</v>
      </c>
      <c r="B15" s="40">
        <v>4360</v>
      </c>
      <c r="C15" s="41">
        <v>1169.9000000000001</v>
      </c>
      <c r="D15" s="41">
        <f>SUM(D12,D14)</f>
        <v>4009.25</v>
      </c>
      <c r="E15" s="67">
        <f>SUM(E12,E14)</f>
        <v>485.68999999999994</v>
      </c>
      <c r="F15" s="134">
        <f>SUM(F12,F14)</f>
        <v>2679.4828000000002</v>
      </c>
      <c r="G15" s="134">
        <f>SUM(G12,G14)</f>
        <v>3100</v>
      </c>
      <c r="H15" s="67">
        <f>SUM(H12,H14)</f>
        <v>100.00000000000001</v>
      </c>
      <c r="I15" s="42"/>
      <c r="J15" s="85" t="s">
        <v>205</v>
      </c>
      <c r="K15" s="58"/>
    </row>
    <row r="16" spans="1:15" ht="17.25" thickTop="1">
      <c r="A16" s="68" t="s">
        <v>151</v>
      </c>
    </row>
    <row r="17" spans="1:10">
      <c r="A17" s="204" t="s">
        <v>150</v>
      </c>
      <c r="B17" s="204"/>
      <c r="C17" s="205">
        <f xml:space="preserve"> SUM(B15,D15,F15,G15)</f>
        <v>14148.7328</v>
      </c>
      <c r="D17" s="204"/>
      <c r="E17" s="204"/>
      <c r="F17" s="204"/>
      <c r="G17" s="204"/>
    </row>
    <row r="18" spans="1:10">
      <c r="A18" s="69"/>
    </row>
    <row r="19" spans="1:10" s="110" customFormat="1"/>
    <row r="20" spans="1:10" s="110" customFormat="1">
      <c r="A20" s="201" t="s">
        <v>220</v>
      </c>
      <c r="B20" s="201"/>
      <c r="C20" s="201" t="s">
        <v>221</v>
      </c>
      <c r="D20" s="201" t="s">
        <v>222</v>
      </c>
    </row>
    <row r="21" spans="1:10" s="110" customFormat="1">
      <c r="A21" s="201"/>
      <c r="B21" s="201"/>
      <c r="C21" s="201"/>
      <c r="D21" s="201"/>
    </row>
    <row r="22" spans="1:10" s="110" customFormat="1" ht="16.5" customHeight="1">
      <c r="A22" s="111" t="s">
        <v>223</v>
      </c>
      <c r="B22" s="111"/>
      <c r="C22" s="112">
        <v>4000000</v>
      </c>
      <c r="D22" s="113">
        <v>7000000</v>
      </c>
      <c r="E22" s="110">
        <f t="shared" ref="E22:E28" si="1">SUM(C22:D22)</f>
        <v>11000000</v>
      </c>
      <c r="G22" s="210">
        <f>SUM(C22:D28)</f>
        <v>104005000</v>
      </c>
      <c r="H22" s="210">
        <f>SUM(G22,E29)</f>
        <v>112630000</v>
      </c>
    </row>
    <row r="23" spans="1:10" s="110" customFormat="1">
      <c r="A23" s="111" t="s">
        <v>224</v>
      </c>
      <c r="B23" s="114"/>
      <c r="C23" s="115">
        <v>3800000</v>
      </c>
      <c r="D23" s="113"/>
      <c r="E23" s="110">
        <f t="shared" si="1"/>
        <v>3800000</v>
      </c>
      <c r="G23" s="210"/>
      <c r="H23" s="210"/>
    </row>
    <row r="24" spans="1:10" s="110" customFormat="1">
      <c r="A24" s="211" t="s">
        <v>225</v>
      </c>
      <c r="B24" s="211" t="s">
        <v>231</v>
      </c>
      <c r="C24" s="213">
        <v>39000000</v>
      </c>
      <c r="D24" s="208"/>
      <c r="E24" s="110">
        <f t="shared" si="1"/>
        <v>39000000</v>
      </c>
      <c r="F24" s="210">
        <f>SUM(E24:E28)</f>
        <v>89205000</v>
      </c>
      <c r="G24" s="210"/>
      <c r="H24" s="210"/>
    </row>
    <row r="25" spans="1:10" s="110" customFormat="1">
      <c r="A25" s="216"/>
      <c r="B25" s="212"/>
      <c r="C25" s="214"/>
      <c r="D25" s="209"/>
      <c r="E25" s="110">
        <f t="shared" si="1"/>
        <v>0</v>
      </c>
      <c r="F25" s="210"/>
      <c r="G25" s="210"/>
      <c r="H25" s="210"/>
    </row>
    <row r="26" spans="1:10" s="110" customFormat="1">
      <c r="A26" s="216"/>
      <c r="B26" s="111" t="s">
        <v>229</v>
      </c>
      <c r="C26" s="128">
        <v>5000000</v>
      </c>
      <c r="D26" s="113">
        <v>7875000</v>
      </c>
      <c r="E26" s="110">
        <f t="shared" si="1"/>
        <v>12875000</v>
      </c>
      <c r="F26" s="210"/>
      <c r="G26" s="210"/>
      <c r="H26" s="210"/>
    </row>
    <row r="27" spans="1:10" s="110" customFormat="1">
      <c r="A27" s="216"/>
      <c r="B27" s="111" t="s">
        <v>228</v>
      </c>
      <c r="C27" s="112">
        <v>1000000</v>
      </c>
      <c r="D27" s="116">
        <f>17000000+13330000</f>
        <v>30330000</v>
      </c>
      <c r="E27" s="110">
        <f t="shared" si="1"/>
        <v>31330000</v>
      </c>
      <c r="F27" s="210"/>
      <c r="G27" s="210"/>
      <c r="H27" s="210"/>
      <c r="I27" s="117"/>
      <c r="J27" s="117"/>
    </row>
    <row r="28" spans="1:10" s="110" customFormat="1">
      <c r="A28" s="212"/>
      <c r="B28" s="111" t="s">
        <v>227</v>
      </c>
      <c r="C28" s="112">
        <v>6000000</v>
      </c>
      <c r="D28" s="113"/>
      <c r="E28" s="110">
        <f t="shared" si="1"/>
        <v>6000000</v>
      </c>
      <c r="F28" s="210"/>
      <c r="G28" s="210"/>
      <c r="H28" s="210"/>
    </row>
    <row r="29" spans="1:10" s="110" customFormat="1">
      <c r="A29" s="202" t="s">
        <v>226</v>
      </c>
      <c r="B29" s="203"/>
      <c r="C29" s="113">
        <v>3000000</v>
      </c>
      <c r="D29" s="113">
        <v>5625000</v>
      </c>
      <c r="E29" s="110">
        <f>SUM(C29:D29)</f>
        <v>8625000</v>
      </c>
      <c r="H29" s="210"/>
    </row>
    <row r="30" spans="1:10" s="110" customFormat="1">
      <c r="J30" s="110">
        <f>37500000-24171200</f>
        <v>13328800</v>
      </c>
    </row>
    <row r="31" spans="1:10" s="110" customFormat="1">
      <c r="A31" s="210" t="s">
        <v>230</v>
      </c>
      <c r="B31" s="210"/>
      <c r="C31" s="110">
        <f>SUM(C22:C29)</f>
        <v>61800000</v>
      </c>
      <c r="D31" s="110">
        <f>SUM(D22:D29)</f>
        <v>50830000</v>
      </c>
    </row>
    <row r="32" spans="1:10" s="110" customFormat="1">
      <c r="A32" s="215" t="s">
        <v>273</v>
      </c>
      <c r="B32" s="215"/>
      <c r="C32" s="118">
        <v>61800000</v>
      </c>
      <c r="D32" s="119">
        <f>37500000+13330000</f>
        <v>50830000</v>
      </c>
      <c r="E32" s="217" t="s">
        <v>274</v>
      </c>
      <c r="F32" s="217"/>
    </row>
    <row r="33" spans="1:6" s="110" customFormat="1">
      <c r="C33" s="110">
        <f>C32-C31</f>
        <v>0</v>
      </c>
      <c r="D33" s="110">
        <f>D32-D31</f>
        <v>0</v>
      </c>
    </row>
    <row r="34" spans="1:6" s="110" customFormat="1"/>
    <row r="35" spans="1:6" s="110" customFormat="1"/>
    <row r="36" spans="1:6" s="110" customFormat="1">
      <c r="A36" s="206" t="s">
        <v>232</v>
      </c>
      <c r="B36" s="207"/>
      <c r="C36" s="207"/>
      <c r="D36" s="207"/>
      <c r="E36" s="207"/>
      <c r="F36" s="207"/>
    </row>
    <row r="37" spans="1:6" s="110" customFormat="1"/>
  </sheetData>
  <mergeCells count="24">
    <mergeCell ref="A36:F36"/>
    <mergeCell ref="D24:D25"/>
    <mergeCell ref="F24:F28"/>
    <mergeCell ref="G22:G28"/>
    <mergeCell ref="H22:H29"/>
    <mergeCell ref="A31:B31"/>
    <mergeCell ref="B24:B25"/>
    <mergeCell ref="C24:C25"/>
    <mergeCell ref="A32:B32"/>
    <mergeCell ref="A24:A28"/>
    <mergeCell ref="E32:F32"/>
    <mergeCell ref="A20:B21"/>
    <mergeCell ref="C20:C21"/>
    <mergeCell ref="D20:D21"/>
    <mergeCell ref="A29:B29"/>
    <mergeCell ref="A17:B17"/>
    <mergeCell ref="C17:G17"/>
    <mergeCell ref="M3:M7"/>
    <mergeCell ref="A1:K1"/>
    <mergeCell ref="A2:A5"/>
    <mergeCell ref="I2:K3"/>
    <mergeCell ref="C4:C5"/>
    <mergeCell ref="E4:E5"/>
    <mergeCell ref="G2:G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6EF2-0CE5-4764-8ECD-C8018D8CA019}">
  <dimension ref="A1:H38"/>
  <sheetViews>
    <sheetView workbookViewId="0">
      <selection activeCell="C4" sqref="C4:D27"/>
    </sheetView>
  </sheetViews>
  <sheetFormatPr defaultRowHeight="16.5"/>
  <cols>
    <col min="1" max="1" width="16.25" customWidth="1"/>
    <col min="2" max="2" width="24.625" style="59" customWidth="1"/>
    <col min="3" max="3" width="11.875" customWidth="1"/>
    <col min="4" max="4" width="14.875" style="59" customWidth="1"/>
    <col min="5" max="5" width="9" style="59"/>
  </cols>
  <sheetData>
    <row r="1" spans="1:8" ht="18.75" thickBot="1">
      <c r="A1" s="187" t="s">
        <v>152</v>
      </c>
      <c r="B1" s="187"/>
      <c r="C1" s="187"/>
      <c r="D1" s="187"/>
      <c r="E1" s="187"/>
      <c r="F1" s="187"/>
      <c r="G1" s="187"/>
      <c r="H1" s="187"/>
    </row>
    <row r="2" spans="1:8" ht="24.95" customHeight="1" thickTop="1">
      <c r="A2" s="227" t="s">
        <v>121</v>
      </c>
      <c r="B2" s="228"/>
      <c r="C2" s="231" t="s">
        <v>153</v>
      </c>
      <c r="D2" s="70" t="s">
        <v>124</v>
      </c>
      <c r="E2" s="232" t="s">
        <v>141</v>
      </c>
      <c r="F2" s="234" t="s">
        <v>126</v>
      </c>
      <c r="G2" s="235"/>
      <c r="H2" s="236"/>
    </row>
    <row r="3" spans="1:8" ht="24.95" customHeight="1">
      <c r="A3" s="229"/>
      <c r="B3" s="230"/>
      <c r="C3" s="198"/>
      <c r="D3" s="44" t="s">
        <v>125</v>
      </c>
      <c r="E3" s="233"/>
      <c r="F3" s="71" t="s">
        <v>154</v>
      </c>
      <c r="G3" s="71" t="s">
        <v>155</v>
      </c>
      <c r="H3" s="72" t="s">
        <v>156</v>
      </c>
    </row>
    <row r="4" spans="1:8" ht="24.95" customHeight="1">
      <c r="A4" s="222" t="s">
        <v>143</v>
      </c>
      <c r="B4" s="39" t="s">
        <v>157</v>
      </c>
      <c r="C4" s="129">
        <f>'3차년도'!G12/1000000</f>
        <v>152.64859999999999</v>
      </c>
      <c r="D4" s="130">
        <f>(C4/$C$27)*100</f>
        <v>5.6969427084958335</v>
      </c>
      <c r="E4" s="39">
        <v>4.03</v>
      </c>
      <c r="F4" s="56">
        <v>0</v>
      </c>
      <c r="G4" s="56"/>
      <c r="H4" s="56">
        <v>0</v>
      </c>
    </row>
    <row r="5" spans="1:8" ht="24.95" customHeight="1">
      <c r="A5" s="224"/>
      <c r="B5" s="39" t="s">
        <v>158</v>
      </c>
      <c r="C5" s="129">
        <f>'3차년도'!G17/1000000</f>
        <v>93</v>
      </c>
      <c r="D5" s="130">
        <f>(C5/$C$27)*100</f>
        <v>3.4708190700085857</v>
      </c>
      <c r="E5" s="39">
        <v>0</v>
      </c>
      <c r="F5" s="56">
        <v>10</v>
      </c>
      <c r="G5" s="56"/>
      <c r="H5" s="56">
        <v>10</v>
      </c>
    </row>
    <row r="6" spans="1:8" ht="24.95" customHeight="1">
      <c r="A6" s="218" t="s">
        <v>139</v>
      </c>
      <c r="B6" s="219"/>
      <c r="C6" s="131">
        <f>SUM(C4,C5)</f>
        <v>245.64859999999999</v>
      </c>
      <c r="D6" s="132">
        <f>SUM(D4:D5)</f>
        <v>9.1677617785044188</v>
      </c>
      <c r="E6" s="38">
        <f>SUM(E4:E5)</f>
        <v>4.03</v>
      </c>
      <c r="F6" s="54">
        <f>SUM(F4:F5)</f>
        <v>10</v>
      </c>
      <c r="G6" s="54"/>
      <c r="H6" s="54">
        <f>SUM(H4:H5)</f>
        <v>10</v>
      </c>
    </row>
    <row r="7" spans="1:8" ht="24.95" customHeight="1">
      <c r="A7" s="77" t="s">
        <v>17</v>
      </c>
      <c r="B7" s="74" t="s">
        <v>144</v>
      </c>
      <c r="C7" s="129">
        <f>'3차년도'!G55/1000000</f>
        <v>186.6</v>
      </c>
      <c r="D7" s="133">
        <f>(C7/$C$27)*100</f>
        <v>6.964030521114001</v>
      </c>
      <c r="E7" s="74">
        <v>0</v>
      </c>
      <c r="F7" s="91">
        <v>0</v>
      </c>
      <c r="G7" s="78"/>
      <c r="H7" s="91">
        <v>0</v>
      </c>
    </row>
    <row r="8" spans="1:8" ht="24.95" customHeight="1">
      <c r="A8" s="218" t="s">
        <v>139</v>
      </c>
      <c r="B8" s="219"/>
      <c r="C8" s="131">
        <f>SUM(C7)</f>
        <v>186.6</v>
      </c>
      <c r="D8" s="132">
        <f>SUM(D7)</f>
        <v>6.964030521114001</v>
      </c>
      <c r="E8" s="38">
        <v>0</v>
      </c>
      <c r="F8" s="54">
        <v>0</v>
      </c>
      <c r="G8" s="54"/>
      <c r="H8" s="54">
        <v>0</v>
      </c>
    </row>
    <row r="9" spans="1:8" ht="24.95" customHeight="1">
      <c r="A9" s="222" t="s">
        <v>174</v>
      </c>
      <c r="B9" s="74" t="s">
        <v>159</v>
      </c>
      <c r="C9" s="129">
        <f>'3차년도'!G65/1000000</f>
        <v>0</v>
      </c>
      <c r="D9" s="133">
        <f t="shared" ref="D9:D15" si="0">(C9/$C$27)*100</f>
        <v>0</v>
      </c>
      <c r="E9" s="74">
        <v>282.39999999999998</v>
      </c>
      <c r="F9" s="91">
        <v>0</v>
      </c>
      <c r="G9" s="78"/>
      <c r="H9" s="91">
        <v>0</v>
      </c>
    </row>
    <row r="10" spans="1:8" ht="24.95" customHeight="1">
      <c r="A10" s="224"/>
      <c r="B10" s="39" t="s">
        <v>160</v>
      </c>
      <c r="C10" s="129">
        <f>'3차년도'!G73/1000000</f>
        <v>0</v>
      </c>
      <c r="D10" s="130">
        <f t="shared" si="0"/>
        <v>0</v>
      </c>
      <c r="E10" s="39">
        <v>0</v>
      </c>
      <c r="F10" s="56">
        <v>3</v>
      </c>
      <c r="G10" s="56"/>
      <c r="H10" s="56">
        <v>3</v>
      </c>
    </row>
    <row r="11" spans="1:8" ht="24.95" customHeight="1">
      <c r="A11" s="77" t="s">
        <v>173</v>
      </c>
      <c r="B11" s="74" t="s">
        <v>161</v>
      </c>
      <c r="C11" s="129">
        <f>'3차년도'!G91/1000000</f>
        <v>100</v>
      </c>
      <c r="D11" s="133">
        <f t="shared" si="0"/>
        <v>3.7320635161382643</v>
      </c>
      <c r="E11" s="74">
        <v>1.1399999999999999</v>
      </c>
      <c r="F11" s="91">
        <v>0</v>
      </c>
      <c r="G11" s="78"/>
      <c r="H11" s="91">
        <v>0</v>
      </c>
    </row>
    <row r="12" spans="1:8" ht="24.95" customHeight="1">
      <c r="A12" s="222" t="s">
        <v>175</v>
      </c>
      <c r="B12" s="39" t="s">
        <v>162</v>
      </c>
      <c r="C12" s="129">
        <f>'3차년도'!G104/1000000</f>
        <v>1317.1</v>
      </c>
      <c r="D12" s="130">
        <f t="shared" si="0"/>
        <v>49.155008571057074</v>
      </c>
      <c r="E12" s="39">
        <v>0</v>
      </c>
      <c r="F12" s="56">
        <v>0</v>
      </c>
      <c r="G12" s="56"/>
      <c r="H12" s="56">
        <v>0</v>
      </c>
    </row>
    <row r="13" spans="1:8" ht="24.95" customHeight="1">
      <c r="A13" s="223"/>
      <c r="B13" s="39" t="s">
        <v>163</v>
      </c>
      <c r="C13" s="129">
        <f>'3차년도'!G116/1000000</f>
        <v>2.2839999999999998</v>
      </c>
      <c r="D13" s="130">
        <f t="shared" si="0"/>
        <v>8.5240330708597947E-2</v>
      </c>
      <c r="E13" s="39">
        <v>0</v>
      </c>
      <c r="F13" s="56">
        <v>12.88</v>
      </c>
      <c r="G13" s="56"/>
      <c r="H13" s="56">
        <v>12.88</v>
      </c>
    </row>
    <row r="14" spans="1:8" ht="24.95" customHeight="1">
      <c r="A14" s="223"/>
      <c r="B14" s="39" t="s">
        <v>164</v>
      </c>
      <c r="C14" s="129">
        <f>'3차년도'!G121/1000000</f>
        <v>0.57499999999999996</v>
      </c>
      <c r="D14" s="130">
        <f t="shared" si="0"/>
        <v>2.1459365217795016E-2</v>
      </c>
      <c r="E14" s="39">
        <v>0</v>
      </c>
      <c r="F14" s="56">
        <v>5</v>
      </c>
      <c r="G14" s="56"/>
      <c r="H14" s="56">
        <v>5</v>
      </c>
    </row>
    <row r="15" spans="1:8" ht="24.95" customHeight="1">
      <c r="A15" s="223"/>
      <c r="B15" s="39" t="s">
        <v>165</v>
      </c>
      <c r="C15" s="129">
        <f>'3차년도'!G139/1000000</f>
        <v>142.68799999999999</v>
      </c>
      <c r="D15" s="130">
        <f t="shared" si="0"/>
        <v>5.3252067899073658</v>
      </c>
      <c r="E15" s="39">
        <v>0</v>
      </c>
      <c r="F15" s="56">
        <v>0</v>
      </c>
      <c r="G15" s="56"/>
      <c r="H15" s="56">
        <v>0</v>
      </c>
    </row>
    <row r="16" spans="1:8" ht="24.95" customHeight="1">
      <c r="A16" s="223"/>
      <c r="B16" s="39" t="s">
        <v>70</v>
      </c>
      <c r="C16" s="129">
        <v>0</v>
      </c>
      <c r="D16" s="130">
        <f t="shared" ref="D16:D19" si="1">(C16/$C$27)*100</f>
        <v>0</v>
      </c>
      <c r="E16" s="39">
        <v>39.6</v>
      </c>
      <c r="F16" s="56">
        <v>0</v>
      </c>
      <c r="G16" s="56"/>
      <c r="H16" s="56">
        <v>0</v>
      </c>
    </row>
    <row r="17" spans="1:8" ht="24.95" customHeight="1">
      <c r="A17" s="223"/>
      <c r="B17" s="39" t="s">
        <v>166</v>
      </c>
      <c r="C17" s="129">
        <f>'3차년도'!G146/1000000</f>
        <v>0.55000000000000004</v>
      </c>
      <c r="D17" s="130">
        <f t="shared" si="1"/>
        <v>2.0526349338760453E-2</v>
      </c>
      <c r="E17" s="39">
        <v>0.61</v>
      </c>
      <c r="F17" s="56">
        <v>0</v>
      </c>
      <c r="G17" s="56"/>
      <c r="H17" s="56">
        <v>0</v>
      </c>
    </row>
    <row r="18" spans="1:8" ht="24.95" customHeight="1">
      <c r="A18" s="223"/>
      <c r="B18" s="39" t="s">
        <v>167</v>
      </c>
      <c r="C18" s="129">
        <f>'3차년도'!G151/1000000</f>
        <v>0.15</v>
      </c>
      <c r="D18" s="130">
        <f t="shared" si="1"/>
        <v>5.5980952742073955E-3</v>
      </c>
      <c r="E18" s="39">
        <v>0</v>
      </c>
      <c r="F18" s="56">
        <v>0</v>
      </c>
      <c r="G18" s="56"/>
      <c r="H18" s="56">
        <v>0</v>
      </c>
    </row>
    <row r="19" spans="1:8" ht="24.95" customHeight="1">
      <c r="A19" s="223"/>
      <c r="B19" s="39" t="s">
        <v>168</v>
      </c>
      <c r="C19" s="129">
        <f>'3차년도'!G159/1000000</f>
        <v>10.579000000000001</v>
      </c>
      <c r="D19" s="130">
        <f t="shared" si="1"/>
        <v>0.39481499937226699</v>
      </c>
      <c r="E19" s="39">
        <v>0.15</v>
      </c>
      <c r="F19" s="56">
        <v>0</v>
      </c>
      <c r="G19" s="56"/>
      <c r="H19" s="56">
        <v>0</v>
      </c>
    </row>
    <row r="20" spans="1:8" ht="24.95" customHeight="1">
      <c r="A20" s="223"/>
      <c r="B20" s="39" t="s">
        <v>169</v>
      </c>
      <c r="C20" s="129">
        <f>'3차년도'!G165/1000000</f>
        <v>2.0529999999999999</v>
      </c>
      <c r="D20" s="130">
        <f>(C20/$C$27)*100</f>
        <v>7.6619263986318561E-2</v>
      </c>
      <c r="E20" s="39">
        <v>0</v>
      </c>
      <c r="F20" s="56">
        <v>0</v>
      </c>
      <c r="G20" s="56"/>
      <c r="H20" s="56">
        <v>0</v>
      </c>
    </row>
    <row r="21" spans="1:8" ht="24.95" customHeight="1">
      <c r="A21" s="223"/>
      <c r="B21" s="39" t="s">
        <v>170</v>
      </c>
      <c r="C21" s="129">
        <f>'3차년도'!G178/1000000</f>
        <v>508.39519999999999</v>
      </c>
      <c r="D21" s="130">
        <f>(C21/$C$27)*100</f>
        <v>18.973631776998161</v>
      </c>
      <c r="E21" s="39">
        <v>157.76</v>
      </c>
      <c r="F21" s="56">
        <v>0</v>
      </c>
      <c r="G21" s="56"/>
      <c r="H21" s="56">
        <v>0</v>
      </c>
    </row>
    <row r="22" spans="1:8" ht="24.95" customHeight="1">
      <c r="A22" s="223"/>
      <c r="B22" s="39" t="s">
        <v>171</v>
      </c>
      <c r="C22" s="129">
        <f>'3차년도'!G171/1000000</f>
        <v>3.43</v>
      </c>
      <c r="D22" s="130">
        <f>(C22/$C$27)*100</f>
        <v>0.12800977860354246</v>
      </c>
      <c r="E22" s="39">
        <v>0</v>
      </c>
      <c r="F22" s="56">
        <v>18</v>
      </c>
      <c r="G22" s="56"/>
      <c r="H22" s="56">
        <v>18</v>
      </c>
    </row>
    <row r="23" spans="1:8" ht="24.95" customHeight="1">
      <c r="A23" s="224"/>
      <c r="B23" s="39" t="s">
        <v>172</v>
      </c>
      <c r="C23" s="129">
        <f>'3차년도'!G185/1000000</f>
        <v>6.93</v>
      </c>
      <c r="D23" s="130">
        <f>(C23/$C$27)*100</f>
        <v>0.25863200166838168</v>
      </c>
      <c r="E23" s="39">
        <v>0</v>
      </c>
      <c r="F23" s="56">
        <v>38</v>
      </c>
      <c r="G23" s="56"/>
      <c r="H23" s="56">
        <v>38</v>
      </c>
    </row>
    <row r="24" spans="1:8" ht="24.95" customHeight="1">
      <c r="A24" s="218" t="s">
        <v>139</v>
      </c>
      <c r="B24" s="219"/>
      <c r="C24" s="131">
        <f>SUM(C9:C23)</f>
        <v>2094.7341999999999</v>
      </c>
      <c r="D24" s="132">
        <f>SUM(D9:D23)</f>
        <v>78.17681083827074</v>
      </c>
      <c r="E24" s="38">
        <f>SUM(E9:E23)</f>
        <v>481.65999999999997</v>
      </c>
      <c r="F24" s="54">
        <f>SUM(F9:F23)</f>
        <v>76.88</v>
      </c>
      <c r="G24" s="54"/>
      <c r="H24" s="54">
        <f>SUM(H9:H23)</f>
        <v>76.88</v>
      </c>
    </row>
    <row r="25" spans="1:8" ht="24.95" customHeight="1">
      <c r="A25" s="225" t="s">
        <v>148</v>
      </c>
      <c r="B25" s="226"/>
      <c r="C25" s="129">
        <v>152.5</v>
      </c>
      <c r="D25" s="130">
        <f>(C25/$C$27)*100</f>
        <v>5.691396862110853</v>
      </c>
      <c r="E25" s="39">
        <v>0</v>
      </c>
      <c r="F25" s="56">
        <v>8.6199999999999992</v>
      </c>
      <c r="G25" s="56"/>
      <c r="H25" s="56">
        <v>8.6199999999999992</v>
      </c>
    </row>
    <row r="26" spans="1:8" ht="24.95" customHeight="1">
      <c r="A26" s="218" t="s">
        <v>139</v>
      </c>
      <c r="B26" s="219"/>
      <c r="C26" s="131">
        <v>152.5</v>
      </c>
      <c r="D26" s="132">
        <f>SUM(D25)</f>
        <v>5.691396862110853</v>
      </c>
      <c r="E26" s="38">
        <v>0</v>
      </c>
      <c r="F26" s="54">
        <v>8.6199999999999992</v>
      </c>
      <c r="G26" s="54"/>
      <c r="H26" s="54">
        <v>8.6199999999999992</v>
      </c>
    </row>
    <row r="27" spans="1:8" ht="24.95" customHeight="1" thickBot="1">
      <c r="A27" s="220" t="s">
        <v>149</v>
      </c>
      <c r="B27" s="221"/>
      <c r="C27" s="134">
        <f>SUM(C6,C8,C24,C26)</f>
        <v>2679.4827999999998</v>
      </c>
      <c r="D27" s="135">
        <f>SUM(D6,D8,D24,D26)</f>
        <v>100</v>
      </c>
      <c r="E27" s="67">
        <f>SUM(E24,E26,E8,E6)</f>
        <v>485.68999999999994</v>
      </c>
      <c r="F27" s="42">
        <f>SUM(F26,F24,F6,F8)</f>
        <v>95.5</v>
      </c>
      <c r="G27" s="73"/>
      <c r="H27" s="42">
        <f>SUM(H26,H24,H6,H8)</f>
        <v>95.5</v>
      </c>
    </row>
    <row r="28" spans="1:8" ht="17.25" thickTop="1">
      <c r="A28" s="68" t="s">
        <v>151</v>
      </c>
    </row>
    <row r="30" spans="1:8">
      <c r="A30" s="237" t="s">
        <v>71</v>
      </c>
      <c r="B30" s="238"/>
      <c r="C30" s="86" t="s">
        <v>206</v>
      </c>
      <c r="D30" s="86" t="s">
        <v>207</v>
      </c>
      <c r="E30"/>
    </row>
    <row r="31" spans="1:8">
      <c r="A31" s="86" t="s">
        <v>158</v>
      </c>
      <c r="B31" s="87"/>
      <c r="C31" s="88">
        <v>5000000</v>
      </c>
      <c r="D31" s="89">
        <v>7000000</v>
      </c>
      <c r="E31">
        <f>SUM(C31:D31)</f>
        <v>12000000</v>
      </c>
      <c r="G31" s="204">
        <f>SUM(E31:E37)</f>
        <v>88875000</v>
      </c>
    </row>
    <row r="32" spans="1:8" ht="54.75" customHeight="1">
      <c r="A32" s="239" t="s">
        <v>209</v>
      </c>
      <c r="B32" s="241"/>
      <c r="C32" s="243">
        <v>2000000</v>
      </c>
      <c r="D32" s="243">
        <v>0</v>
      </c>
      <c r="E32" s="245">
        <f>SUM(C32:D33)</f>
        <v>2000000</v>
      </c>
      <c r="G32" s="204"/>
    </row>
    <row r="33" spans="1:7">
      <c r="A33" s="240"/>
      <c r="B33" s="242"/>
      <c r="C33" s="244"/>
      <c r="D33" s="244"/>
      <c r="E33" s="245"/>
      <c r="G33" s="204"/>
    </row>
    <row r="34" spans="1:7">
      <c r="A34" s="239" t="s">
        <v>147</v>
      </c>
      <c r="B34" s="87" t="s">
        <v>208</v>
      </c>
      <c r="C34" s="89">
        <v>40000000</v>
      </c>
      <c r="D34" s="89">
        <v>0</v>
      </c>
      <c r="E34">
        <f>SUM(C34:D34)</f>
        <v>40000000</v>
      </c>
      <c r="F34" s="204">
        <f>SUM(E34:E37)</f>
        <v>74875000</v>
      </c>
      <c r="G34" s="204"/>
    </row>
    <row r="35" spans="1:7">
      <c r="A35" s="246"/>
      <c r="B35" s="90" t="s">
        <v>163</v>
      </c>
      <c r="C35" s="89">
        <v>4500000</v>
      </c>
      <c r="D35" s="89">
        <v>7875000</v>
      </c>
      <c r="E35">
        <f>SUM(C35:D35)</f>
        <v>12375000</v>
      </c>
      <c r="F35" s="204"/>
      <c r="G35" s="204"/>
    </row>
    <row r="36" spans="1:7">
      <c r="A36" s="246"/>
      <c r="B36" s="90" t="s">
        <v>171</v>
      </c>
      <c r="C36" s="89">
        <v>1000000</v>
      </c>
      <c r="D36" s="89">
        <v>17000000</v>
      </c>
      <c r="E36">
        <f>SUM(C36:D36)</f>
        <v>18000000</v>
      </c>
      <c r="F36" s="204"/>
      <c r="G36" s="204"/>
    </row>
    <row r="37" spans="1:7">
      <c r="A37" s="240"/>
      <c r="B37" s="90" t="s">
        <v>164</v>
      </c>
      <c r="C37" s="89">
        <v>4500000</v>
      </c>
      <c r="D37" s="89">
        <v>0</v>
      </c>
      <c r="E37">
        <f>SUM(C37:D37)</f>
        <v>4500000</v>
      </c>
      <c r="F37" s="204"/>
      <c r="G37" s="204"/>
    </row>
    <row r="38" spans="1:7">
      <c r="A38" s="237" t="s">
        <v>148</v>
      </c>
      <c r="B38" s="238"/>
      <c r="C38" s="89">
        <v>3000000</v>
      </c>
      <c r="D38" s="89">
        <v>5625000</v>
      </c>
      <c r="E38">
        <f>SUM(C38:D38)</f>
        <v>8625000</v>
      </c>
    </row>
  </sheetData>
  <mergeCells count="24">
    <mergeCell ref="A38:B38"/>
    <mergeCell ref="A30:B30"/>
    <mergeCell ref="G31:G37"/>
    <mergeCell ref="A32:A33"/>
    <mergeCell ref="B32:B33"/>
    <mergeCell ref="C32:C33"/>
    <mergeCell ref="D32:D33"/>
    <mergeCell ref="E32:E33"/>
    <mergeCell ref="A34:A37"/>
    <mergeCell ref="F34:F37"/>
    <mergeCell ref="A4:A5"/>
    <mergeCell ref="A9:A10"/>
    <mergeCell ref="A1:H1"/>
    <mergeCell ref="A2:B3"/>
    <mergeCell ref="C2:C3"/>
    <mergeCell ref="E2:E3"/>
    <mergeCell ref="F2:H2"/>
    <mergeCell ref="A6:B6"/>
    <mergeCell ref="A8:B8"/>
    <mergeCell ref="A26:B26"/>
    <mergeCell ref="A27:B27"/>
    <mergeCell ref="A12:A23"/>
    <mergeCell ref="A24:B24"/>
    <mergeCell ref="A25:B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3차년도</vt:lpstr>
      <vt:lpstr>재정투자 계획 총괄표, 대응자금</vt:lpstr>
      <vt:lpstr>3차년도 사업비 편성 총괄표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Donghyuk So</dc:creator>
  <cp:lastModifiedBy>MYUNG JIN</cp:lastModifiedBy>
  <dcterms:created xsi:type="dcterms:W3CDTF">2024-08-14T12:20:08Z</dcterms:created>
  <dcterms:modified xsi:type="dcterms:W3CDTF">2025-11-03T08:30:52Z</dcterms:modified>
</cp:coreProperties>
</file>